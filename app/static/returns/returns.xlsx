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neaviso-my.sharepoint.com/personal/oelassaad_aviso_ca/Documents/Development/MAP Dev/IPS Generator/ips-generator-web/app/static/returns/"/>
    </mc:Choice>
  </mc:AlternateContent>
  <xr:revisionPtr revIDLastSave="15" documentId="13_ncr:1_{E3799630-C69A-4CBE-A1E3-585352F4DA56}" xr6:coauthVersionLast="47" xr6:coauthVersionMax="47" xr10:uidLastSave="{0AA7CEDC-930C-49E5-904A-C175C39F4954}"/>
  <bookViews>
    <workbookView xWindow="-120" yWindow="-120" windowWidth="29040" windowHeight="15720" xr2:uid="{3B7D21DE-0BB4-48EB-8D25-721726C207C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9" i="1"/>
  <c r="C28" i="1"/>
  <c r="C27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<sst xmlns="http://schemas.openxmlformats.org/spreadsheetml/2006/main" count="88" uniqueCount="80">
  <si>
    <t>Strategy</t>
  </si>
  <si>
    <t>Benchmark</t>
  </si>
  <si>
    <t>1M</t>
  </si>
  <si>
    <t>3M</t>
  </si>
  <si>
    <t>YTD</t>
  </si>
  <si>
    <t>1YR</t>
  </si>
  <si>
    <t>3YR</t>
  </si>
  <si>
    <t>5YR</t>
  </si>
  <si>
    <t>10YR</t>
  </si>
  <si>
    <t>SI</t>
  </si>
  <si>
    <t>1Mb</t>
  </si>
  <si>
    <t>3Mb</t>
  </si>
  <si>
    <t>YTDb</t>
  </si>
  <si>
    <t>1YRb</t>
  </si>
  <si>
    <t>3YRb</t>
  </si>
  <si>
    <t>5YRb</t>
  </si>
  <si>
    <t>10YRb</t>
  </si>
  <si>
    <t>SIb</t>
  </si>
  <si>
    <t>2023b</t>
  </si>
  <si>
    <t>2022b</t>
  </si>
  <si>
    <t>2021b</t>
  </si>
  <si>
    <t>2020b</t>
  </si>
  <si>
    <t>2019b</t>
  </si>
  <si>
    <t>2018b</t>
  </si>
  <si>
    <t>Beutel Goodman Conservative Balanced</t>
  </si>
  <si>
    <t>70% FTSE Canada Universe Bond Index; 22.5% S&amp;P/TSX Composite TR Index; 7.5% S&amp;P 500 TR Index (CAD)</t>
  </si>
  <si>
    <t>Beutel Goodman Structured Bond</t>
  </si>
  <si>
    <t>65% FTSE Canada Short-Term Bond Index; 35% FTSE Canada Mid-Term Bond Index</t>
  </si>
  <si>
    <t>Dixon Mitchell Total Equity</t>
  </si>
  <si>
    <t>70% S&amp;P/TSX 60 TR Index; 30% S&amp;P 500 TR Index (CAD)</t>
  </si>
  <si>
    <t>Guardian Canadian Balanced (RI)</t>
  </si>
  <si>
    <t>60% S&amp;P/TSX Composite TR Index; 40% FTSE Canada Universe Bond Index</t>
  </si>
  <si>
    <t>Guardian Canadian Equity (RI)</t>
  </si>
  <si>
    <t>S&amp;P/TSX Composite TR Index</t>
  </si>
  <si>
    <t>Guardian Canadian Bond (RI)</t>
  </si>
  <si>
    <t>FTSE Canada Universe Bond Index</t>
  </si>
  <si>
    <t>Guardian Global Dividend</t>
  </si>
  <si>
    <t>MSCI World NR Index (CAD)</t>
  </si>
  <si>
    <t>Guardian Global Equity (RI)</t>
  </si>
  <si>
    <t>Guardian Canadian Equity Income</t>
  </si>
  <si>
    <t>S&amp;P/TSX High Dividend TR Index</t>
  </si>
  <si>
    <t>Jarislowsky Fraser North American Balanced</t>
  </si>
  <si>
    <t>50% FTSE Canada Universe Bond Index; 25% S&amp;P/TSX Composite TR Index; 25% S&amp;P 500 TR Index (CAD)</t>
  </si>
  <si>
    <t>Jarislowsky Fraser North American Equity</t>
  </si>
  <si>
    <t>50% S&amp;P/TSX Composite TR Index; 50% S&amp;P 500 TR Index (CAD)</t>
  </si>
  <si>
    <t>Manning &amp; Napier US Equity (RI)</t>
  </si>
  <si>
    <t>S&amp;P 500 TR Index (CAD)</t>
  </si>
  <si>
    <t>QV Dividend Income (RI)</t>
  </si>
  <si>
    <t>QV Small Cap (RI)</t>
  </si>
  <si>
    <t>S&amp;P TSX Small Cap Index TR</t>
  </si>
  <si>
    <t>Scheer Rowlett Canadian Equity</t>
  </si>
  <si>
    <t>Lazard Global Equity</t>
  </si>
  <si>
    <t>MSCI All Country World NR Index</t>
  </si>
  <si>
    <t>Lazard International Equity</t>
  </si>
  <si>
    <t>MSCI EAFE NR Index (CAD)</t>
  </si>
  <si>
    <t>Sionna Canadian Equity</t>
  </si>
  <si>
    <t>Guardian Canadian Equity Fund</t>
  </si>
  <si>
    <t>Guardian Canadian Bond Fund</t>
  </si>
  <si>
    <t>Guardian Balanced Fund</t>
  </si>
  <si>
    <t>40% FTSE Canada Universe Bond Index; 30% S&amp;P/TSX 60 TR Index; 30% MSCI World NR Index (CAD)</t>
  </si>
  <si>
    <t>Guardian Global Dividend Fund</t>
  </si>
  <si>
    <t>Brookfield Private Real Assets Fund</t>
  </si>
  <si>
    <t>Aviso 5-year Bond Ladder (Taxable)</t>
  </si>
  <si>
    <t>Aviso 5-year Bond Ladder (Income)</t>
  </si>
  <si>
    <t>2023a</t>
  </si>
  <si>
    <t>2022a</t>
  </si>
  <si>
    <t>2021a</t>
  </si>
  <si>
    <t>2020a</t>
  </si>
  <si>
    <t>2019a</t>
  </si>
  <si>
    <t>2018a</t>
  </si>
  <si>
    <t>Hamilton Lane Global Private Assets Fund</t>
  </si>
  <si>
    <t>2024a</t>
  </si>
  <si>
    <t>2024b</t>
  </si>
  <si>
    <t>Sagard Private Credit Fund</t>
  </si>
  <si>
    <t>Mawer EAFE Large Cap Fund</t>
  </si>
  <si>
    <t>Aviso 5-year Bond Ladder (Income) Bench</t>
  </si>
  <si>
    <t>Aviso 5-year Bond Ladder (Taxable) Bench</t>
  </si>
  <si>
    <t>MSCIWLDNR</t>
  </si>
  <si>
    <t>SPRAUT</t>
  </si>
  <si>
    <t>Morningstar LSTA US Leveraged Loan TR Hdg 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</si>
</sst>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neaviso-my.sharepoint.com/personal/oelassaad_aviso_ca/Documents/Development/MAP%20Dev/performance-scripts/performance/IPS%20Quarterly%20Returns/Return_performance_IPS_2025-06-30.xlsx" TargetMode="External"/><Relationship Id="rId1" Type="http://schemas.openxmlformats.org/officeDocument/2006/relationships/externalLinkPath" Target="/personal/oelassaad_aviso_ca/Documents/Development/MAP%20Dev/performance-scripts/performance/IPS%20Quarterly%20Returns/Return_performance_IPS_2025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turns"/>
    </sheetNames>
    <sheetDataSet>
      <sheetData sheetId="0">
        <row r="1">
          <cell r="A1" t="str">
            <v>Mandate</v>
          </cell>
          <cell r="C1" t="str">
            <v>1M</v>
          </cell>
          <cell r="D1" t="str">
            <v>3M</v>
          </cell>
          <cell r="E1" t="str">
            <v>YTD</v>
          </cell>
          <cell r="F1" t="str">
            <v>1YR</v>
          </cell>
          <cell r="G1" t="str">
            <v>3YR</v>
          </cell>
          <cell r="H1" t="str">
            <v>5YR</v>
          </cell>
          <cell r="I1" t="str">
            <v>10YR</v>
          </cell>
          <cell r="J1" t="str">
            <v>SI</v>
          </cell>
          <cell r="K1" t="str">
            <v>1Mb</v>
          </cell>
          <cell r="L1" t="str">
            <v>3Mb</v>
          </cell>
          <cell r="M1" t="str">
            <v>YTDb</v>
          </cell>
          <cell r="N1" t="str">
            <v>1YRb</v>
          </cell>
          <cell r="O1" t="str">
            <v>3YRb</v>
          </cell>
          <cell r="P1" t="str">
            <v>5YRb</v>
          </cell>
          <cell r="Q1" t="str">
            <v>10YRb</v>
          </cell>
          <cell r="R1" t="str">
            <v>SIb</v>
          </cell>
          <cell r="S1">
            <v>2024</v>
          </cell>
          <cell r="T1">
            <v>2023</v>
          </cell>
          <cell r="U1">
            <v>2022</v>
          </cell>
          <cell r="V1">
            <v>2021</v>
          </cell>
          <cell r="W1">
            <v>2020</v>
          </cell>
          <cell r="X1">
            <v>2019</v>
          </cell>
          <cell r="Y1">
            <v>2018</v>
          </cell>
          <cell r="Z1" t="str">
            <v>2024b</v>
          </cell>
          <cell r="AA1" t="str">
            <v>2023b</v>
          </cell>
          <cell r="AB1" t="str">
            <v>2022b</v>
          </cell>
          <cell r="AC1" t="str">
            <v>2021b</v>
          </cell>
          <cell r="AD1" t="str">
            <v>2020b</v>
          </cell>
          <cell r="AE1" t="str">
            <v>2019b</v>
          </cell>
          <cell r="AF1" t="str">
            <v>2018b</v>
          </cell>
        </row>
        <row r="2">
          <cell r="A2" t="str">
            <v>Beutel Goodman Conservative Balanced</v>
          </cell>
          <cell r="C2">
            <v>6.4766065573771403E-3</v>
          </cell>
          <cell r="D2">
            <v>1.3934561058376319E-2</v>
          </cell>
          <cell r="E2">
            <v>4.1389457558565823E-2</v>
          </cell>
          <cell r="F2">
            <v>0.1055936614220325</v>
          </cell>
          <cell r="G2">
            <v>6.6158371848539899E-2</v>
          </cell>
          <cell r="H2">
            <v>5.3137582555110807E-2</v>
          </cell>
          <cell r="I2">
            <v>5.0274537966843218E-2</v>
          </cell>
          <cell r="J2">
            <v>6.0030081433420028E-2</v>
          </cell>
          <cell r="K2">
            <v>1.019999999999999E-2</v>
          </cell>
          <cell r="L2">
            <v>1.8948938120000092E-2</v>
          </cell>
          <cell r="M2">
            <v>3.3586949941350593E-2</v>
          </cell>
          <cell r="N2">
            <v>0.1116523111242109</v>
          </cell>
          <cell r="O2">
            <v>8.182393955332623E-2</v>
          </cell>
          <cell r="P2">
            <v>4.2703236234141739E-2</v>
          </cell>
          <cell r="Q2">
            <v>4.7675208314213569E-2</v>
          </cell>
          <cell r="R2">
            <v>5.4269485265538993E-2</v>
          </cell>
          <cell r="S2">
            <v>7.110857750516808E-2</v>
          </cell>
          <cell r="T2">
            <v>6.9503962505472972E-2</v>
          </cell>
          <cell r="U2">
            <v>-6.7351246961500744E-2</v>
          </cell>
          <cell r="V2">
            <v>8.5023922266367569E-2</v>
          </cell>
          <cell r="W2">
            <v>8.9842946766752751E-2</v>
          </cell>
          <cell r="X2">
            <v>0.10176585775880009</v>
          </cell>
          <cell r="Y2">
            <v>-2.6719568605251261E-3</v>
          </cell>
          <cell r="Z2">
            <v>0.1021823224916296</v>
          </cell>
          <cell r="AA2">
            <v>8.7716228179286926E-2</v>
          </cell>
          <cell r="AB2">
            <v>-0.1007791321090222</v>
          </cell>
          <cell r="AC2">
            <v>5.4533862712955017E-2</v>
          </cell>
          <cell r="AD2">
            <v>9.2753957970583167E-2</v>
          </cell>
          <cell r="AE2">
            <v>0.1168755683777853</v>
          </cell>
          <cell r="AF2">
            <v>-3.3133518868777578E-4</v>
          </cell>
        </row>
        <row r="3">
          <cell r="A3" t="str">
            <v>Beutel Goodman Structured Bond</v>
          </cell>
          <cell r="C3">
            <v>2.2431480000000281E-3</v>
          </cell>
          <cell r="D3">
            <v>1.940774494427089E-3</v>
          </cell>
          <cell r="E3">
            <v>2.1522867150379099E-2</v>
          </cell>
          <cell r="F3">
            <v>6.7164870077768279E-2</v>
          </cell>
          <cell r="G3">
            <v>4.5049602682181833E-2</v>
          </cell>
          <cell r="H3">
            <v>9.579391381833835E-3</v>
          </cell>
          <cell r="I3">
            <v>1.8885830099319541E-2</v>
          </cell>
          <cell r="J3">
            <v>4.375526677979602E-2</v>
          </cell>
          <cell r="K3">
            <v>2.5999999999999361E-3</v>
          </cell>
          <cell r="L3">
            <v>1.9984901300000861E-3</v>
          </cell>
          <cell r="M3">
            <v>2.2254087683039488E-2</v>
          </cell>
          <cell r="N3">
            <v>6.6970823135683588E-2</v>
          </cell>
          <cell r="O3">
            <v>4.5544669952795942E-2</v>
          </cell>
          <cell r="P3">
            <v>1.221329943752991E-2</v>
          </cell>
          <cell r="Q3">
            <v>1.9220883346398931E-2</v>
          </cell>
          <cell r="R3">
            <v>4.1202021355724483E-2</v>
          </cell>
          <cell r="S3">
            <v>5.1696869975270232E-2</v>
          </cell>
          <cell r="T3">
            <v>5.9227296447104998E-2</v>
          </cell>
          <cell r="U3">
            <v>-7.4084527114463228E-2</v>
          </cell>
          <cell r="V3">
            <v>-2.07639840561471E-2</v>
          </cell>
          <cell r="W3">
            <v>7.2733709335903507E-2</v>
          </cell>
          <cell r="X3">
            <v>4.2417853556049989E-2</v>
          </cell>
          <cell r="Y3">
            <v>1.5143026145177931E-2</v>
          </cell>
          <cell r="Z3">
            <v>5.3406602437456867E-2</v>
          </cell>
          <cell r="AA3">
            <v>5.4237633096663178E-2</v>
          </cell>
          <cell r="AB3">
            <v>-6.2297397020487977E-2</v>
          </cell>
          <cell r="AC3">
            <v>-1.533915638406891E-2</v>
          </cell>
          <cell r="AD3">
            <v>6.1174539832829611E-2</v>
          </cell>
          <cell r="AE3">
            <v>4.0268031248332781E-2</v>
          </cell>
          <cell r="AF3">
            <v>1.9121810314036921E-2</v>
          </cell>
        </row>
        <row r="4">
          <cell r="A4" t="str">
            <v>Dixon Mitchell Total Equity</v>
          </cell>
          <cell r="C4">
            <v>2.062219277108435E-2</v>
          </cell>
          <cell r="D4">
            <v>5.3552617863060759E-2</v>
          </cell>
          <cell r="E4">
            <v>4.6429153916799581E-2</v>
          </cell>
          <cell r="F4">
            <v>0.1506263396876262</v>
          </cell>
          <cell r="G4">
            <v>0.19052681859449791</v>
          </cell>
          <cell r="H4">
            <v>0.17751597544911449</v>
          </cell>
          <cell r="I4">
            <v>0.13116838095324601</v>
          </cell>
          <cell r="J4">
            <v>9.9182195825684216E-2</v>
          </cell>
          <cell r="K4">
            <v>2.849999999999997E-2</v>
          </cell>
          <cell r="L4">
            <v>6.8802574729999844E-2</v>
          </cell>
          <cell r="M4">
            <v>6.8171590533641524E-2</v>
          </cell>
          <cell r="N4">
            <v>0.228514766332478</v>
          </cell>
          <cell r="O4">
            <v>0.1751519605071683</v>
          </cell>
          <cell r="P4">
            <v>0.15586823555346041</v>
          </cell>
          <cell r="Q4">
            <v>0.11477365379137459</v>
          </cell>
          <cell r="R4">
            <v>6.9776228263879636E-2</v>
          </cell>
          <cell r="S4">
            <v>0.20300051409891351</v>
          </cell>
          <cell r="T4">
            <v>0.22666917874780079</v>
          </cell>
          <cell r="U4">
            <v>-3.3374670046121817E-2</v>
          </cell>
          <cell r="V4">
            <v>0.29477003772115862</v>
          </cell>
          <cell r="W4">
            <v>0.12321388075036779</v>
          </cell>
          <cell r="X4">
            <v>0.1946031324946251</v>
          </cell>
          <cell r="Y4">
            <v>-2.283559756047659E-3</v>
          </cell>
          <cell r="Z4">
            <v>0.25589403569629132</v>
          </cell>
          <cell r="AA4">
            <v>0.1488587438947935</v>
          </cell>
          <cell r="AB4">
            <v>-7.4243142523677252E-2</v>
          </cell>
          <cell r="AC4">
            <v>0.27962037205920343</v>
          </cell>
          <cell r="AD4">
            <v>8.6160849121817984E-2</v>
          </cell>
          <cell r="AE4">
            <v>0.22822661859954649</v>
          </cell>
          <cell r="AF4">
            <v>-4.0965727438507897E-2</v>
          </cell>
        </row>
        <row r="5">
          <cell r="A5" t="str">
            <v>Guardian Canadian Balanced (RI)</v>
          </cell>
          <cell r="C5">
            <v>2.1507232558139581E-2</v>
          </cell>
          <cell r="D5">
            <v>6.6701393835959966E-2</v>
          </cell>
          <cell r="E5">
            <v>8.8515012440417262E-2</v>
          </cell>
          <cell r="F5">
            <v>0.2069181162686915</v>
          </cell>
          <cell r="G5">
            <v>0.1422469647626379</v>
          </cell>
          <cell r="H5">
            <v>0.1071219142607331</v>
          </cell>
          <cell r="I5">
            <v>7.5133022668533389E-2</v>
          </cell>
          <cell r="J5">
            <v>7.8989632808853294E-2</v>
          </cell>
          <cell r="K5">
            <v>1.7700000000000049E-2</v>
          </cell>
          <cell r="L5">
            <v>4.8325768224000143E-2</v>
          </cell>
          <cell r="M5">
            <v>6.6428609533619287E-2</v>
          </cell>
          <cell r="N5">
            <v>0.1795405094264271</v>
          </cell>
          <cell r="O5">
            <v>0.11353946446012329</v>
          </cell>
          <cell r="P5">
            <v>8.8070538640133256E-2</v>
          </cell>
          <cell r="Q5">
            <v>6.7143602015746984E-2</v>
          </cell>
          <cell r="R5">
            <v>7.5190638967507439E-2</v>
          </cell>
          <cell r="S5">
            <v>0.16909176936559361</v>
          </cell>
          <cell r="T5">
            <v>0.12328855877582499</v>
          </cell>
          <cell r="U5">
            <v>-7.2623009670554461E-2</v>
          </cell>
          <cell r="V5">
            <v>0.13359880186010689</v>
          </cell>
          <cell r="W5">
            <v>7.0964251198278427E-2</v>
          </cell>
          <cell r="X5">
            <v>0.1324110955443196</v>
          </cell>
          <cell r="Y5">
            <v>-2.7766693482052299E-2</v>
          </cell>
          <cell r="Z5">
            <v>0.14435513740520059</v>
          </cell>
          <cell r="AA5">
            <v>9.7290450620474145E-2</v>
          </cell>
          <cell r="AB5">
            <v>-7.8060196500178036E-2</v>
          </cell>
          <cell r="AC5">
            <v>0.1351871011014274</v>
          </cell>
          <cell r="AD5">
            <v>7.8614809902556315E-2</v>
          </cell>
          <cell r="AE5">
            <v>0.16333273441343341</v>
          </cell>
          <cell r="AF5">
            <v>-4.6556803672422993E-2</v>
          </cell>
        </row>
        <row r="6">
          <cell r="A6" t="str">
            <v>Guardian Canadian Equity (RI)</v>
          </cell>
          <cell r="C6">
            <v>3.1918066666666738E-2</v>
          </cell>
          <cell r="D6">
            <v>0.106652512761497</v>
          </cell>
          <cell r="E6">
            <v>0.12728118355626639</v>
          </cell>
          <cell r="F6">
            <v>0.29194426639414739</v>
          </cell>
          <cell r="G6">
            <v>0.19664739335041251</v>
          </cell>
          <cell r="H6">
            <v>0.17083632575058291</v>
          </cell>
          <cell r="I6">
            <v>0.10278275857156551</v>
          </cell>
          <cell r="J6">
            <v>8.7971000874423888E-2</v>
          </cell>
          <cell r="K6">
            <v>2.90999999999999E-2</v>
          </cell>
          <cell r="L6">
            <v>8.5231642040000111E-2</v>
          </cell>
          <cell r="M6">
            <v>0.10161627611346891</v>
          </cell>
          <cell r="N6">
            <v>0.26355768014352893</v>
          </cell>
          <cell r="O6">
            <v>0.16174791700777269</v>
          </cell>
          <cell r="P6">
            <v>0.1506785074338641</v>
          </cell>
          <cell r="Q6">
            <v>9.6297839011893149E-2</v>
          </cell>
          <cell r="R6">
            <v>7.6894726818429682E-2</v>
          </cell>
          <cell r="S6">
            <v>0.2464799745561268</v>
          </cell>
          <cell r="T6">
            <v>0.1481932347269663</v>
          </cell>
          <cell r="U6">
            <v>-4.4647519966674272E-2</v>
          </cell>
          <cell r="V6">
            <v>0.22858982038478379</v>
          </cell>
          <cell r="W6">
            <v>3.2613190352135168E-2</v>
          </cell>
          <cell r="X6">
            <v>0.16910836648109909</v>
          </cell>
          <cell r="Y6">
            <v>-6.0702708212991729E-2</v>
          </cell>
          <cell r="Z6">
            <v>0.21639791486141899</v>
          </cell>
          <cell r="AA6">
            <v>0.12021853546487481</v>
          </cell>
          <cell r="AB6">
            <v>-5.861422986020437E-2</v>
          </cell>
          <cell r="AC6">
            <v>0.25087973789207202</v>
          </cell>
          <cell r="AD6">
            <v>5.5915166451887321E-2</v>
          </cell>
          <cell r="AE6">
            <v>0.22876839007651761</v>
          </cell>
          <cell r="AF6">
            <v>-8.8861093780151279E-2</v>
          </cell>
        </row>
        <row r="7">
          <cell r="A7" t="str">
            <v>Guardian Canadian Bond (RI)</v>
          </cell>
          <cell r="C7">
            <v>2.6693333333334119E-3</v>
          </cell>
          <cell r="D7">
            <v>-2.6717918046893501E-3</v>
          </cell>
          <cell r="E7">
            <v>1.9258139340910811E-2</v>
          </cell>
          <cell r="F7">
            <v>7.1263011325580106E-2</v>
          </cell>
          <cell r="G7">
            <v>4.8282948378003843E-2</v>
          </cell>
          <cell r="H7">
            <v>-1.104035111474055E-3</v>
          </cell>
          <cell r="I7">
            <v>2.082094148007374E-2</v>
          </cell>
          <cell r="J7">
            <v>5.196453931432532E-2</v>
          </cell>
          <cell r="K7">
            <v>5.9999999999993392E-4</v>
          </cell>
          <cell r="L7">
            <v>-5.7050807799999834E-3</v>
          </cell>
          <cell r="M7">
            <v>1.444652343338104E-2</v>
          </cell>
          <cell r="N7">
            <v>6.1163138184022081E-2</v>
          </cell>
          <cell r="O7">
            <v>4.1885590908792292E-2</v>
          </cell>
          <cell r="P7">
            <v>-4.4831443170499918E-3</v>
          </cell>
          <cell r="Q7">
            <v>1.8477013901331271E-2</v>
          </cell>
          <cell r="R7">
            <v>5.0285682034808099E-2</v>
          </cell>
          <cell r="S7">
            <v>4.9758392035209147E-2</v>
          </cell>
          <cell r="T7">
            <v>7.4649345331067485E-2</v>
          </cell>
          <cell r="U7">
            <v>-0.12497102831907179</v>
          </cell>
          <cell r="V7">
            <v>-2.5217556612129769E-2</v>
          </cell>
          <cell r="W7">
            <v>0.10285331526718069</v>
          </cell>
          <cell r="X7">
            <v>6.5038215096127949E-2</v>
          </cell>
          <cell r="Y7">
            <v>1.2437482995890649E-2</v>
          </cell>
          <cell r="Z7">
            <v>4.2257028382391093E-2</v>
          </cell>
          <cell r="AA7">
            <v>6.3062276236460102E-2</v>
          </cell>
          <cell r="AB7">
            <v>-0.11689077106871799</v>
          </cell>
          <cell r="AC7">
            <v>-2.5394156876443419E-2</v>
          </cell>
          <cell r="AD7">
            <v>8.6757289789715752E-2</v>
          </cell>
          <cell r="AE7">
            <v>6.8712084440473165E-2</v>
          </cell>
          <cell r="AF7">
            <v>1.4079379818825901E-2</v>
          </cell>
        </row>
        <row r="8">
          <cell r="A8" t="str">
            <v>Guardian Global Dividend</v>
          </cell>
          <cell r="C8">
            <v>6.3962799999999209E-3</v>
          </cell>
          <cell r="D8">
            <v>1.023162808506028E-2</v>
          </cell>
          <cell r="E8">
            <v>1.6052096967489549E-2</v>
          </cell>
          <cell r="F8">
            <v>0.1093458078711156</v>
          </cell>
          <cell r="G8">
            <v>0.1718522843076</v>
          </cell>
          <cell r="H8">
            <v>0.13537838838819891</v>
          </cell>
          <cell r="I8">
            <v>0.1119906987604196</v>
          </cell>
          <cell r="J8">
            <v>0.10353358653112781</v>
          </cell>
          <cell r="K8">
            <v>3.5199999999999898E-2</v>
          </cell>
          <cell r="L8">
            <v>5.6813619887999822E-2</v>
          </cell>
          <cell r="M8">
            <v>3.8563366779366337E-2</v>
          </cell>
          <cell r="N8">
            <v>0.1592335772126752</v>
          </cell>
          <cell r="O8">
            <v>0.20815735429916329</v>
          </cell>
          <cell r="P8">
            <v>0.14860453496100429</v>
          </cell>
          <cell r="Q8">
            <v>0.1202924196785458</v>
          </cell>
          <cell r="R8">
            <v>9.2978903224587128E-2</v>
          </cell>
          <cell r="S8">
            <v>0.25956354944849203</v>
          </cell>
          <cell r="T8">
            <v>0.1753993264425078</v>
          </cell>
          <cell r="U8">
            <v>-8.6883515521638199E-2</v>
          </cell>
          <cell r="V8">
            <v>0.26766545352246007</v>
          </cell>
          <cell r="W8">
            <v>8.4249303506370277E-2</v>
          </cell>
          <cell r="X8">
            <v>0.19638981733600039</v>
          </cell>
          <cell r="Y8">
            <v>-4.9599140354200646E-3</v>
          </cell>
          <cell r="Z8">
            <v>0.29426365037508218</v>
          </cell>
          <cell r="AA8">
            <v>0.21016918258785361</v>
          </cell>
          <cell r="AB8">
            <v>-0.1174573603921328</v>
          </cell>
          <cell r="AC8">
            <v>0.21310109733026381</v>
          </cell>
          <cell r="AD8">
            <v>0.13322710348184111</v>
          </cell>
          <cell r="AE8">
            <v>0.21910476774026419</v>
          </cell>
          <cell r="AF8">
            <v>6.3113667818059938E-4</v>
          </cell>
        </row>
        <row r="9">
          <cell r="A9" t="str">
            <v>Guardian Global Equity (RI)</v>
          </cell>
          <cell r="C9">
            <v>4.2903829787233061E-3</v>
          </cell>
          <cell r="D9">
            <v>4.4484720197404126E-3</v>
          </cell>
          <cell r="E9">
            <v>3.8221246369203321E-3</v>
          </cell>
          <cell r="F9">
            <v>9.6659636385026726E-2</v>
          </cell>
          <cell r="G9">
            <v>0.17480332194648709</v>
          </cell>
          <cell r="H9">
            <v>0.13933365025535971</v>
          </cell>
          <cell r="I9">
            <v>0.1133374003936702</v>
          </cell>
          <cell r="J9">
            <v>8.7169172720092503E-2</v>
          </cell>
          <cell r="K9">
            <v>3.5199999999999898E-2</v>
          </cell>
          <cell r="L9">
            <v>5.6813619887999822E-2</v>
          </cell>
          <cell r="M9">
            <v>3.8563366779366337E-2</v>
          </cell>
          <cell r="N9">
            <v>0.1592335772126752</v>
          </cell>
          <cell r="O9">
            <v>0.20815735429916329</v>
          </cell>
          <cell r="P9">
            <v>0.14860453496100429</v>
          </cell>
          <cell r="Q9">
            <v>0.1202924196785458</v>
          </cell>
          <cell r="R9">
            <v>9.9714367100615098E-2</v>
          </cell>
          <cell r="S9">
            <v>0.26275886187340619</v>
          </cell>
          <cell r="T9">
            <v>0.19210350219382619</v>
          </cell>
          <cell r="U9">
            <v>-0.1086485740791715</v>
          </cell>
          <cell r="V9">
            <v>0.31928245119478338</v>
          </cell>
          <cell r="W9">
            <v>7.9992473769204819E-2</v>
          </cell>
          <cell r="X9">
            <v>0.2154545270790329</v>
          </cell>
          <cell r="Y9">
            <v>8.5866506209266724E-3</v>
          </cell>
          <cell r="Z9">
            <v>0.29426365037508218</v>
          </cell>
          <cell r="AA9">
            <v>0.21016918258785361</v>
          </cell>
          <cell r="AB9">
            <v>-0.1174573603921328</v>
          </cell>
          <cell r="AC9">
            <v>0.21310109733026381</v>
          </cell>
          <cell r="AD9">
            <v>0.13322710348184111</v>
          </cell>
          <cell r="AE9">
            <v>0.21910476774026419</v>
          </cell>
          <cell r="AF9">
            <v>6.3113667818059938E-4</v>
          </cell>
        </row>
        <row r="10">
          <cell r="A10" t="str">
            <v>Guardian Canadian Equity Income</v>
          </cell>
          <cell r="C10">
            <v>2.13211499999999E-2</v>
          </cell>
          <cell r="D10">
            <v>6.5383764984105364E-2</v>
          </cell>
          <cell r="E10">
            <v>0.1197949279763115</v>
          </cell>
          <cell r="F10">
            <v>0.2211258763695492</v>
          </cell>
          <cell r="G10">
            <v>0.13681128954345281</v>
          </cell>
          <cell r="H10">
            <v>0.17287649796508411</v>
          </cell>
          <cell r="I10">
            <v>8.7929416045070541E-2</v>
          </cell>
          <cell r="J10">
            <v>0.11476720756868961</v>
          </cell>
          <cell r="K10">
            <v>1.940000000000008E-2</v>
          </cell>
          <cell r="L10">
            <v>5.2729588820000117E-2</v>
          </cell>
          <cell r="M10">
            <v>8.3939047331181404E-2</v>
          </cell>
          <cell r="N10">
            <v>0.2194874157261972</v>
          </cell>
          <cell r="O10">
            <v>0.1041080827295837</v>
          </cell>
          <cell r="P10">
            <v>0.1691270607573041</v>
          </cell>
          <cell r="Q10">
            <v>8.890528087351246E-2</v>
          </cell>
          <cell r="R10">
            <v>0.1075223001682948</v>
          </cell>
          <cell r="S10">
            <v>0.13308185228320671</v>
          </cell>
          <cell r="T10">
            <v>8.8744440171499184E-2</v>
          </cell>
          <cell r="U10">
            <v>6.0759705977495797E-2</v>
          </cell>
          <cell r="V10">
            <v>0.30956324056409512</v>
          </cell>
          <cell r="W10">
            <v>-6.2025403848959597E-2</v>
          </cell>
          <cell r="X10">
            <v>0.2082705208707534</v>
          </cell>
          <cell r="Y10">
            <v>-0.1009024960682712</v>
          </cell>
          <cell r="Z10">
            <v>0.1570007856603988</v>
          </cell>
          <cell r="AA10">
            <v>8.050188529371205E-2</v>
          </cell>
          <cell r="AB10">
            <v>6.431543794565231E-3</v>
          </cell>
          <cell r="AC10">
            <v>0.36103956698877088</v>
          </cell>
          <cell r="AD10">
            <v>-7.3860041217950645E-2</v>
          </cell>
          <cell r="AE10">
            <v>0.25812480061619558</v>
          </cell>
          <cell r="AF10">
            <v>-0.107731401591228</v>
          </cell>
        </row>
        <row r="11">
          <cell r="A11" t="str">
            <v>Jarislowsky Fraser North American Balanced</v>
          </cell>
          <cell r="C11">
            <v>2.182877533039651E-2</v>
          </cell>
          <cell r="D11">
            <v>3.4795345796978523E-2</v>
          </cell>
          <cell r="E11">
            <v>2.7554397852769918E-2</v>
          </cell>
          <cell r="F11">
            <v>0.14679677115389159</v>
          </cell>
          <cell r="G11">
            <v>0.1398117945542541</v>
          </cell>
          <cell r="H11">
            <v>9.5741230591227744E-2</v>
          </cell>
          <cell r="I11">
            <v>7.7735008897726221E-2</v>
          </cell>
          <cell r="J11">
            <v>7.7765559245989158E-2</v>
          </cell>
          <cell r="K11">
            <v>1.8299999999999979E-2</v>
          </cell>
          <cell r="L11">
            <v>3.1402262440000113E-2</v>
          </cell>
          <cell r="M11">
            <v>3.4850607000923788E-2</v>
          </cell>
          <cell r="N11">
            <v>0.13249649279837489</v>
          </cell>
          <cell r="O11">
            <v>0.1150348685397113</v>
          </cell>
          <cell r="P11">
            <v>7.6006958773237931E-2</v>
          </cell>
          <cell r="Q11">
            <v>7.081423528739661E-2</v>
          </cell>
          <cell r="R11">
            <v>7.0876887207562245E-2</v>
          </cell>
          <cell r="S11">
            <v>0.18322548414762951</v>
          </cell>
          <cell r="T11">
            <v>0.17330481297705999</v>
          </cell>
          <cell r="U11">
            <v>-0.12996610793626931</v>
          </cell>
          <cell r="V11">
            <v>0.16260778923755589</v>
          </cell>
          <cell r="W11">
            <v>7.4865762310155848E-2</v>
          </cell>
          <cell r="X11">
            <v>0.12625265700684721</v>
          </cell>
          <cell r="Y11">
            <v>1.7279870544707251E-2</v>
          </cell>
          <cell r="Z11">
            <v>0.16047266730424201</v>
          </cell>
          <cell r="AA11">
            <v>0.1147928272931185</v>
          </cell>
          <cell r="AB11">
            <v>-9.9044415340767022E-2</v>
          </cell>
          <cell r="AC11">
            <v>0.112867795062521</v>
          </cell>
          <cell r="AD11">
            <v>0.1046288022437831</v>
          </cell>
          <cell r="AE11">
            <v>0.15197488384327329</v>
          </cell>
          <cell r="AF11">
            <v>-6.1622847520066406E-3</v>
          </cell>
        </row>
        <row r="12">
          <cell r="A12" t="str">
            <v>Jarislowsky Fraser North American Equity</v>
          </cell>
          <cell r="C12">
            <v>3.5559540983606468E-2</v>
          </cell>
          <cell r="D12">
            <v>5.945221101696041E-2</v>
          </cell>
          <cell r="E12">
            <v>3.5326857691942548E-2</v>
          </cell>
          <cell r="F12">
            <v>0.19900814149791499</v>
          </cell>
          <cell r="G12">
            <v>0.20551776887071729</v>
          </cell>
          <cell r="H12">
            <v>0.15614433286782961</v>
          </cell>
          <cell r="I12">
            <v>0.11286254509671979</v>
          </cell>
          <cell r="J12">
            <v>0.10198089821845201</v>
          </cell>
          <cell r="K12">
            <v>3.6000000000000032E-2</v>
          </cell>
          <cell r="L12">
            <v>6.8678009279999896E-2</v>
          </cell>
          <cell r="M12">
            <v>5.4109428127716352E-2</v>
          </cell>
          <cell r="N12">
            <v>0.2057953085268982</v>
          </cell>
          <cell r="O12">
            <v>0.19208683191829001</v>
          </cell>
          <cell r="P12">
            <v>0.16022209502835061</v>
          </cell>
          <cell r="Q12">
            <v>0.12262956661357501</v>
          </cell>
          <cell r="R12">
            <v>9.0581316052544825E-2</v>
          </cell>
          <cell r="S12">
            <v>0.28821327176199668</v>
          </cell>
          <cell r="T12">
            <v>0.24089152985559159</v>
          </cell>
          <cell r="U12">
            <v>-0.13059519460896579</v>
          </cell>
          <cell r="V12">
            <v>0.25237616768120769</v>
          </cell>
          <cell r="W12">
            <v>8.1569070295306689E-2</v>
          </cell>
          <cell r="X12">
            <v>0.1715094882487038</v>
          </cell>
          <cell r="Y12">
            <v>9.1529806240275846E-3</v>
          </cell>
          <cell r="Z12">
            <v>0.28958074617418311</v>
          </cell>
          <cell r="AA12">
            <v>0.1713694717429799</v>
          </cell>
          <cell r="AB12">
            <v>-8.3909329309362457E-2</v>
          </cell>
          <cell r="AC12">
            <v>0.26398989980912058</v>
          </cell>
          <cell r="AD12">
            <v>0.1075575934363073</v>
          </cell>
          <cell r="AE12">
            <v>0.23879323438722061</v>
          </cell>
          <cell r="AF12">
            <v>-2.4421037083545372E-2</v>
          </cell>
        </row>
        <row r="13">
          <cell r="A13" t="str">
            <v>Manning &amp; Napier US Equity (RI)</v>
          </cell>
          <cell r="C13">
            <v>3.4000089552238773E-2</v>
          </cell>
          <cell r="D13">
            <v>3.0130869593325119E-2</v>
          </cell>
          <cell r="E13">
            <v>-3.1997211689957387E-2</v>
          </cell>
          <cell r="F13">
            <v>9.3148302551933737E-2</v>
          </cell>
          <cell r="G13">
            <v>0.16237498083958779</v>
          </cell>
          <cell r="H13">
            <v>0.1382304120776803</v>
          </cell>
          <cell r="I13">
            <v>0.1382054122022458</v>
          </cell>
          <cell r="J13">
            <v>9.6919039053080525E-2</v>
          </cell>
          <cell r="K13">
            <v>4.2899999999999938E-2</v>
          </cell>
          <cell r="L13">
            <v>5.1849041467999957E-2</v>
          </cell>
          <cell r="M13">
            <v>7.6092138717065438E-3</v>
          </cell>
          <cell r="N13">
            <v>0.148530491719469</v>
          </cell>
          <cell r="O13">
            <v>0.21948169477405341</v>
          </cell>
          <cell r="P13">
            <v>0.16596086144168901</v>
          </cell>
          <cell r="Q13">
            <v>0.14605505262386639</v>
          </cell>
          <cell r="R13">
            <v>7.4236826705645242E-2</v>
          </cell>
          <cell r="S13">
            <v>0.27366522335215349</v>
          </cell>
          <cell r="T13">
            <v>0.25428923880210452</v>
          </cell>
          <cell r="U13">
            <v>-0.15689063861803829</v>
          </cell>
          <cell r="V13">
            <v>0.27161910953713958</v>
          </cell>
          <cell r="W13">
            <v>0.2595160966611858</v>
          </cell>
          <cell r="X13">
            <v>0.27375498705892748</v>
          </cell>
          <cell r="Y13">
            <v>5.3456934933305167E-2</v>
          </cell>
          <cell r="Z13">
            <v>0.36378001862312792</v>
          </cell>
          <cell r="AA13">
            <v>0.22802772224653481</v>
          </cell>
          <cell r="AB13">
            <v>-0.12152410109853</v>
          </cell>
          <cell r="AC13">
            <v>0.2761454551589928</v>
          </cell>
          <cell r="AD13">
            <v>0.15829193424188981</v>
          </cell>
          <cell r="AE13">
            <v>0.24838940926861031</v>
          </cell>
          <cell r="AF13">
            <v>4.2275010225730332E-2</v>
          </cell>
        </row>
        <row r="14">
          <cell r="A14" t="str">
            <v>QV Dividend Income (RI)</v>
          </cell>
          <cell r="C14">
            <v>1.838815277777783E-2</v>
          </cell>
          <cell r="D14">
            <v>7.5964791497263429E-2</v>
          </cell>
          <cell r="E14">
            <v>8.7976574162439869E-2</v>
          </cell>
          <cell r="F14">
            <v>0.22689071885351719</v>
          </cell>
          <cell r="G14">
            <v>0.13347308251113371</v>
          </cell>
          <cell r="H14">
            <v>0.16783535009318329</v>
          </cell>
          <cell r="I14">
            <v>9.0071223810074708E-2</v>
          </cell>
          <cell r="J14">
            <v>0.1190809673611843</v>
          </cell>
          <cell r="K14">
            <v>2.90999999999999E-2</v>
          </cell>
          <cell r="L14">
            <v>8.5231642040000111E-2</v>
          </cell>
          <cell r="M14">
            <v>0.10161627611346891</v>
          </cell>
          <cell r="N14">
            <v>0.26355768014352893</v>
          </cell>
          <cell r="O14">
            <v>0.16174791700777269</v>
          </cell>
          <cell r="P14">
            <v>0.1506785074338641</v>
          </cell>
          <cell r="Q14">
            <v>9.6297839011893149E-2</v>
          </cell>
          <cell r="R14">
            <v>8.2932581414456807E-2</v>
          </cell>
          <cell r="S14">
            <v>0.19391940521041101</v>
          </cell>
          <cell r="T14">
            <v>8.2265292556218395E-2</v>
          </cell>
          <cell r="U14">
            <v>2.4852794580773718E-2</v>
          </cell>
          <cell r="V14">
            <v>0.28277174917337572</v>
          </cell>
          <cell r="W14">
            <v>-9.987112125977915E-3</v>
          </cell>
          <cell r="X14">
            <v>0.20463900163792559</v>
          </cell>
          <cell r="Y14">
            <v>-0.1130749971911198</v>
          </cell>
          <cell r="Z14">
            <v>0.21639791486141899</v>
          </cell>
          <cell r="AA14">
            <v>0.12021853546487481</v>
          </cell>
          <cell r="AB14">
            <v>-5.861422986020437E-2</v>
          </cell>
          <cell r="AC14">
            <v>0.25087973789207202</v>
          </cell>
          <cell r="AD14">
            <v>5.5915166451887321E-2</v>
          </cell>
          <cell r="AE14">
            <v>0.22876839007651761</v>
          </cell>
          <cell r="AF14">
            <v>-8.8861093780151279E-2</v>
          </cell>
        </row>
        <row r="15">
          <cell r="A15" t="str">
            <v>QV Small Cap (RI)</v>
          </cell>
          <cell r="C15">
            <v>3.6725894736842069E-2</v>
          </cell>
          <cell r="D15">
            <v>0.13398991856030371</v>
          </cell>
          <cell r="E15">
            <v>0.1559897921924713</v>
          </cell>
          <cell r="F15">
            <v>0.26112494265221459</v>
          </cell>
          <cell r="G15">
            <v>0.1822130152594206</v>
          </cell>
          <cell r="H15">
            <v>0.1828196570279628</v>
          </cell>
          <cell r="I15">
            <v>0.1010853331076897</v>
          </cell>
          <cell r="J15">
            <v>0.1159541613502926</v>
          </cell>
          <cell r="K15">
            <v>6.1800000000000077E-2</v>
          </cell>
          <cell r="L15">
            <v>0.1174196323200003</v>
          </cell>
          <cell r="M15">
            <v>0.1272908645203146</v>
          </cell>
          <cell r="N15">
            <v>0.23084376297386311</v>
          </cell>
          <cell r="O15">
            <v>0.13767623281709371</v>
          </cell>
          <cell r="P15">
            <v>0.15656754876302109</v>
          </cell>
          <cell r="Q15">
            <v>8.0323443021825147E-2</v>
          </cell>
          <cell r="R15">
            <v>6.602299353371599E-2</v>
          </cell>
          <cell r="S15">
            <v>0.1454564677544905</v>
          </cell>
          <cell r="T15">
            <v>0.13163604439679649</v>
          </cell>
          <cell r="U15">
            <v>6.004942311459649E-3</v>
          </cell>
          <cell r="V15">
            <v>0.25963045708737781</v>
          </cell>
          <cell r="W15">
            <v>4.2266551135459629E-2</v>
          </cell>
          <cell r="X15">
            <v>0.174356775690232</v>
          </cell>
          <cell r="Y15">
            <v>-9.1042596803016851E-2</v>
          </cell>
          <cell r="Z15">
            <v>0.17911981515140821</v>
          </cell>
          <cell r="AA15">
            <v>4.7003170409684943E-2</v>
          </cell>
          <cell r="AB15">
            <v>-9.2181445783686145E-2</v>
          </cell>
          <cell r="AC15">
            <v>0.2479183845762456</v>
          </cell>
          <cell r="AD15">
            <v>0.14422856360136599</v>
          </cell>
          <cell r="AE15">
            <v>0.19203163120775571</v>
          </cell>
          <cell r="AF15">
            <v>-0.18167452986828991</v>
          </cell>
        </row>
        <row r="16">
          <cell r="A16" t="str">
            <v>Scheer Rowlett Canadian Equity</v>
          </cell>
          <cell r="C16">
            <v>3.1941444444444363E-2</v>
          </cell>
          <cell r="D16">
            <v>7.8343682302147277E-2</v>
          </cell>
          <cell r="E16">
            <v>6.5198439990229451E-2</v>
          </cell>
          <cell r="F16">
            <v>0.20611206083487829</v>
          </cell>
          <cell r="G16">
            <v>0.13118348815135211</v>
          </cell>
          <cell r="H16">
            <v>0.16903987023430209</v>
          </cell>
          <cell r="I16">
            <v>0.1026619376818538</v>
          </cell>
          <cell r="J16">
            <v>9.7843246265695516E-2</v>
          </cell>
          <cell r="K16">
            <v>2.90999999999999E-2</v>
          </cell>
          <cell r="L16">
            <v>8.5231642040000111E-2</v>
          </cell>
          <cell r="M16">
            <v>0.10161627611346891</v>
          </cell>
          <cell r="N16">
            <v>0.26355768014352893</v>
          </cell>
          <cell r="O16">
            <v>0.16174791700777269</v>
          </cell>
          <cell r="P16">
            <v>0.1506785074338641</v>
          </cell>
          <cell r="Q16">
            <v>9.6297839011893149E-2</v>
          </cell>
          <cell r="R16">
            <v>7.6894726818429682E-2</v>
          </cell>
          <cell r="S16">
            <v>0.1789907355690501</v>
          </cell>
          <cell r="T16">
            <v>0.1026385713853166</v>
          </cell>
          <cell r="U16">
            <v>1.4977591714025349E-2</v>
          </cell>
          <cell r="V16">
            <v>0.3011668696139127</v>
          </cell>
          <cell r="W16">
            <v>2.9379985875004119E-2</v>
          </cell>
          <cell r="X16">
            <v>0.2051281246826844</v>
          </cell>
          <cell r="Y16">
            <v>-0.10290435971538731</v>
          </cell>
          <cell r="Z16">
            <v>0.21639791486141899</v>
          </cell>
          <cell r="AA16">
            <v>0.12021853546487481</v>
          </cell>
          <cell r="AB16">
            <v>-5.861422986020437E-2</v>
          </cell>
          <cell r="AC16">
            <v>0.25087973789207202</v>
          </cell>
          <cell r="AD16">
            <v>5.5915166451887321E-2</v>
          </cell>
          <cell r="AE16">
            <v>0.22876839007651761</v>
          </cell>
          <cell r="AF16">
            <v>-8.8861093780151279E-2</v>
          </cell>
        </row>
        <row r="17">
          <cell r="A17" t="str">
            <v>Lazard Global Equity</v>
          </cell>
          <cell r="C17">
            <v>6.1875944444444553E-2</v>
          </cell>
          <cell r="D17">
            <v>4.8577890096726861E-2</v>
          </cell>
          <cell r="E17">
            <v>1.8491445265368171E-2</v>
          </cell>
          <cell r="F17">
            <v>8.8455213319080128E-2</v>
          </cell>
          <cell r="G17">
            <v>0.1465309131720445</v>
          </cell>
          <cell r="H17">
            <v>0.1059402634570261</v>
          </cell>
          <cell r="I17">
            <v>0.10264265510830969</v>
          </cell>
          <cell r="J17">
            <v>8.1265799183142473E-2</v>
          </cell>
          <cell r="K17">
            <v>3.6999999999999922E-2</v>
          </cell>
          <cell r="L17">
            <v>5.7380803939999891E-2</v>
          </cell>
          <cell r="M17">
            <v>4.4127366680842162E-2</v>
          </cell>
          <cell r="N17">
            <v>0.15861705826427741</v>
          </cell>
          <cell r="O17">
            <v>0.19628148817845359</v>
          </cell>
          <cell r="P17">
            <v>0.13725172993394569</v>
          </cell>
          <cell r="Q17">
            <v>0.1080047898544072</v>
          </cell>
          <cell r="R17">
            <v>8.1977593387603021E-2</v>
          </cell>
          <cell r="S17">
            <v>0.19251440061512121</v>
          </cell>
          <cell r="T17">
            <v>0.14144707145853319</v>
          </cell>
          <cell r="U17">
            <v>-0.119339609569489</v>
          </cell>
          <cell r="V17">
            <v>0.17776070452224821</v>
          </cell>
          <cell r="W17">
            <v>0.15429357627026061</v>
          </cell>
          <cell r="X17">
            <v>0.19951799007801679</v>
          </cell>
          <cell r="Y17">
            <v>1.175024958400717E-2</v>
          </cell>
          <cell r="Z17">
            <v>0.2815483740958018</v>
          </cell>
          <cell r="AA17">
            <v>0.19088023426714379</v>
          </cell>
          <cell r="AB17">
            <v>-0.1242951408520198</v>
          </cell>
          <cell r="AC17">
            <v>0.17523622407634301</v>
          </cell>
          <cell r="AD17">
            <v>0.1225417737020502</v>
          </cell>
          <cell r="AE17">
            <v>0.2019868939492451</v>
          </cell>
          <cell r="AF17">
            <v>-1.2569244036318761E-2</v>
          </cell>
        </row>
        <row r="18">
          <cell r="A18" t="str">
            <v>Lazard International Equity</v>
          </cell>
          <cell r="C18">
            <v>2.0326516129032249E-2</v>
          </cell>
          <cell r="D18">
            <v>5.1141353967351089E-2</v>
          </cell>
          <cell r="E18">
            <v>9.9811231048102522E-2</v>
          </cell>
          <cell r="F18">
            <v>0.14672598451192179</v>
          </cell>
          <cell r="G18">
            <v>0.15347146597702979</v>
          </cell>
          <cell r="H18">
            <v>8.8004662767776409E-2</v>
          </cell>
          <cell r="I18">
            <v>6.1452052059663982E-2</v>
          </cell>
          <cell r="J18">
            <v>6.72899287432982E-2</v>
          </cell>
          <cell r="K18">
            <v>1.459999999999995E-2</v>
          </cell>
          <cell r="L18">
            <v>6.2589849487999727E-2</v>
          </cell>
          <cell r="M18">
            <v>0.1376520316387031</v>
          </cell>
          <cell r="N18">
            <v>0.17997363392522231</v>
          </cell>
          <cell r="O18">
            <v>0.1876408791383288</v>
          </cell>
          <cell r="P18">
            <v>0.11667047914568179</v>
          </cell>
          <cell r="Q18">
            <v>7.731190454466641E-2</v>
          </cell>
          <cell r="R18">
            <v>7.906640607421922E-2</v>
          </cell>
          <cell r="S18">
            <v>0.1238325144064758</v>
          </cell>
          <cell r="T18">
            <v>0.1603299067404467</v>
          </cell>
          <cell r="U18">
            <v>-0.12561674946454729</v>
          </cell>
          <cell r="V18">
            <v>4.8196984917406649E-2</v>
          </cell>
          <cell r="W18">
            <v>9.1570236649640702E-2</v>
          </cell>
          <cell r="X18">
            <v>0.14015252299746009</v>
          </cell>
          <cell r="Y18">
            <v>-7.2063760598472859E-2</v>
          </cell>
          <cell r="Z18">
            <v>0.13811859200861359</v>
          </cell>
          <cell r="AA18">
            <v>0.1566567055638326</v>
          </cell>
          <cell r="AB18">
            <v>-7.7705292109581325E-2</v>
          </cell>
          <cell r="AC18">
            <v>0.10817931502983601</v>
          </cell>
          <cell r="AD18">
            <v>5.377222737175158E-2</v>
          </cell>
          <cell r="AE18">
            <v>0.1645435923658487</v>
          </cell>
          <cell r="AF18">
            <v>-5.5537819245731417E-2</v>
          </cell>
        </row>
        <row r="19">
          <cell r="A19" t="str">
            <v>Sionna Canadian Equity</v>
          </cell>
          <cell r="C19">
            <v>2.6215333333333261E-2</v>
          </cell>
          <cell r="D19">
            <v>5.9849421237785361E-2</v>
          </cell>
          <cell r="E19">
            <v>9.4679312401161342E-2</v>
          </cell>
          <cell r="F19">
            <v>0.22391761076657279</v>
          </cell>
          <cell r="G19">
            <v>0.1524105865072998</v>
          </cell>
          <cell r="H19">
            <v>0.16876918459595111</v>
          </cell>
          <cell r="I19">
            <v>9.7730598979577143E-2</v>
          </cell>
          <cell r="J19">
            <v>8.8247180101207467E-2</v>
          </cell>
          <cell r="K19">
            <v>2.90999999999999E-2</v>
          </cell>
          <cell r="L19">
            <v>8.5231642040000111E-2</v>
          </cell>
          <cell r="M19">
            <v>0.10161627611346891</v>
          </cell>
          <cell r="N19">
            <v>0.26355768014352893</v>
          </cell>
          <cell r="O19">
            <v>0.16174791700777269</v>
          </cell>
          <cell r="P19">
            <v>0.1506785074338641</v>
          </cell>
          <cell r="Q19">
            <v>9.6297839011893149E-2</v>
          </cell>
          <cell r="R19">
            <v>8.4317751946220154E-2</v>
          </cell>
          <cell r="S19">
            <v>0.17063771874488459</v>
          </cell>
          <cell r="T19">
            <v>0.10821411542389291</v>
          </cell>
          <cell r="U19">
            <v>7.4346142515499869E-2</v>
          </cell>
          <cell r="V19">
            <v>0.22162757928016791</v>
          </cell>
          <cell r="W19">
            <v>-1.452798809084666E-3</v>
          </cell>
          <cell r="X19">
            <v>0.1855372953368859</v>
          </cell>
          <cell r="Y19">
            <v>-9.8920016607088379E-2</v>
          </cell>
          <cell r="Z19">
            <v>0.21639791486141899</v>
          </cell>
          <cell r="AA19">
            <v>0.12021853546487481</v>
          </cell>
          <cell r="AB19">
            <v>-5.861422986020437E-2</v>
          </cell>
          <cell r="AC19">
            <v>0.25087973789207202</v>
          </cell>
          <cell r="AD19">
            <v>5.5915166451887321E-2</v>
          </cell>
          <cell r="AE19">
            <v>0.22876839007651761</v>
          </cell>
          <cell r="AF19">
            <v>-8.8861093780151279E-2</v>
          </cell>
        </row>
        <row r="20">
          <cell r="A20" t="str">
            <v>Guardian Canadian Equity Fund</v>
          </cell>
          <cell r="C20">
            <v>2.3340399999999931E-2</v>
          </cell>
          <cell r="D20">
            <v>7.131055708284495E-2</v>
          </cell>
          <cell r="E20">
            <v>8.2008873444123331E-2</v>
          </cell>
          <cell r="F20">
            <v>0.2013196150566037</v>
          </cell>
          <cell r="G20">
            <v>0.1703263907887673</v>
          </cell>
          <cell r="H20">
            <v>0.15462179004768781</v>
          </cell>
          <cell r="I20">
            <v>9.772981062475794E-2</v>
          </cell>
          <cell r="J20">
            <v>8.6523938981074577E-2</v>
          </cell>
          <cell r="K20">
            <v>2.90999999999999E-2</v>
          </cell>
          <cell r="L20">
            <v>8.5231642040000111E-2</v>
          </cell>
          <cell r="M20">
            <v>0.10161627611346891</v>
          </cell>
          <cell r="N20">
            <v>0.26355768014352893</v>
          </cell>
          <cell r="O20">
            <v>0.16174791700777269</v>
          </cell>
          <cell r="P20">
            <v>0.1506785074338641</v>
          </cell>
          <cell r="Q20">
            <v>9.6297839011893149E-2</v>
          </cell>
          <cell r="R20">
            <v>7.9178860213287017E-2</v>
          </cell>
          <cell r="S20">
            <v>0.21693517822200331</v>
          </cell>
          <cell r="T20">
            <v>0.16128355856189081</v>
          </cell>
          <cell r="U20">
            <v>-6.265463117122505E-2</v>
          </cell>
          <cell r="V20">
            <v>0.2345884019388873</v>
          </cell>
          <cell r="W20">
            <v>4.1925939270043289E-2</v>
          </cell>
          <cell r="X20">
            <v>0.1841829826693191</v>
          </cell>
          <cell r="Y20">
            <v>-6.4730847858231022E-2</v>
          </cell>
          <cell r="Z20">
            <v>0.21639791486141899</v>
          </cell>
          <cell r="AA20">
            <v>0.12021853546487481</v>
          </cell>
          <cell r="AB20">
            <v>-5.861422986020437E-2</v>
          </cell>
          <cell r="AC20">
            <v>0.25087973789207202</v>
          </cell>
          <cell r="AD20">
            <v>5.5915166451887321E-2</v>
          </cell>
          <cell r="AE20">
            <v>0.22876839007651761</v>
          </cell>
          <cell r="AF20">
            <v>-8.8861093780151279E-2</v>
          </cell>
        </row>
        <row r="21">
          <cell r="A21" t="str">
            <v>Guardian Canadian Bond Fund</v>
          </cell>
          <cell r="C21">
            <v>3.2385999999999799E-3</v>
          </cell>
          <cell r="D21">
            <v>-5.9147547327208514E-3</v>
          </cell>
          <cell r="E21">
            <v>1.7613294126814779E-2</v>
          </cell>
          <cell r="F21">
            <v>6.9503628434784304E-2</v>
          </cell>
          <cell r="G21">
            <v>4.8406436900457761E-2</v>
          </cell>
          <cell r="H21">
            <v>-3.3333633263105118E-3</v>
          </cell>
          <cell r="I21">
            <v>2.393077278735856E-2</v>
          </cell>
          <cell r="J21">
            <v>2.7260611075226041E-2</v>
          </cell>
          <cell r="K21">
            <v>5.9999999999993392E-4</v>
          </cell>
          <cell r="L21">
            <v>-5.7050807799999834E-3</v>
          </cell>
          <cell r="M21">
            <v>1.444652343338104E-2</v>
          </cell>
          <cell r="N21">
            <v>6.1163138184022081E-2</v>
          </cell>
          <cell r="O21">
            <v>4.1885590908792292E-2</v>
          </cell>
          <cell r="P21">
            <v>-4.4831443170499918E-3</v>
          </cell>
          <cell r="Q21">
            <v>1.8477013901331271E-2</v>
          </cell>
          <cell r="R21">
            <v>2.8914800343172949E-2</v>
          </cell>
          <cell r="S21">
            <v>4.7779083879743611E-2</v>
          </cell>
          <cell r="T21">
            <v>7.1266059690755723E-2</v>
          </cell>
          <cell r="U21">
            <v>-0.1122760042000059</v>
          </cell>
          <cell r="V21">
            <v>-2.948019697857374E-2</v>
          </cell>
          <cell r="W21">
            <v>0.106471440358697</v>
          </cell>
          <cell r="X21">
            <v>5.9792896594321743E-2</v>
          </cell>
          <cell r="Y21">
            <v>2.3394529554544349E-2</v>
          </cell>
          <cell r="Z21">
            <v>4.2257028382391093E-2</v>
          </cell>
          <cell r="AA21">
            <v>6.3062276236460102E-2</v>
          </cell>
          <cell r="AB21">
            <v>-0.11689077106871799</v>
          </cell>
          <cell r="AC21">
            <v>-2.5394156876443419E-2</v>
          </cell>
          <cell r="AD21">
            <v>8.6757289789715752E-2</v>
          </cell>
          <cell r="AE21">
            <v>6.8712084440473165E-2</v>
          </cell>
          <cell r="AF21">
            <v>1.4079379818825901E-2</v>
          </cell>
        </row>
        <row r="22">
          <cell r="A22" t="str">
            <v>Guardian Balanced Fund</v>
          </cell>
          <cell r="C22">
            <v>1.6798000000000091E-2</v>
          </cell>
          <cell r="D22">
            <v>3.8275714925727122E-2</v>
          </cell>
          <cell r="E22">
            <v>4.1482569338445067E-2</v>
          </cell>
          <cell r="F22">
            <v>0.14359199128325881</v>
          </cell>
          <cell r="G22">
            <v>0.13748700862666219</v>
          </cell>
          <cell r="H22">
            <v>0.12637888343476081</v>
          </cell>
          <cell r="I22">
            <v>9.0628482559299783E-2</v>
          </cell>
          <cell r="J22">
            <v>7.9097642171012561E-2</v>
          </cell>
          <cell r="K22">
            <v>1.9500000000000069E-2</v>
          </cell>
          <cell r="L22">
            <v>4.0084520600000013E-2</v>
          </cell>
          <cell r="M22">
            <v>4.7942051537735342E-2</v>
          </cell>
          <cell r="N22">
            <v>0.14962856807481659</v>
          </cell>
          <cell r="O22">
            <v>0.1261733099692515</v>
          </cell>
          <cell r="P22">
            <v>8.7498464844649515E-2</v>
          </cell>
          <cell r="Q22">
            <v>7.4596100789319442E-2</v>
          </cell>
          <cell r="R22">
            <v>7.6516039703509842E-2</v>
          </cell>
          <cell r="S22">
            <v>0.1847901072070588</v>
          </cell>
          <cell r="T22">
            <v>0.14129585786912119</v>
          </cell>
          <cell r="U22">
            <v>-0.10715189023336751</v>
          </cell>
          <cell r="V22">
            <v>0.1390876955281328</v>
          </cell>
          <cell r="W22">
            <v>0.27876690576895458</v>
          </cell>
          <cell r="X22">
            <v>0.12965554966895601</v>
          </cell>
          <cell r="Y22">
            <v>-2.6555424912946379E-2</v>
          </cell>
          <cell r="Z22">
            <v>0.1663275792250731</v>
          </cell>
          <cell r="AA22">
            <v>0.1240317190194777</v>
          </cell>
          <cell r="AB22">
            <v>-9.8973580499673863E-2</v>
          </cell>
          <cell r="AC22">
            <v>0.1310961488382727</v>
          </cell>
          <cell r="AD22">
            <v>9.6828978745500338E-2</v>
          </cell>
          <cell r="AE22">
            <v>0.1578400001663933</v>
          </cell>
          <cell r="AF22">
            <v>-1.6408690648921479E-2</v>
          </cell>
        </row>
        <row r="23">
          <cell r="A23" t="str">
            <v>Guardian Global Dividend Fund</v>
          </cell>
          <cell r="C23">
            <v>5.5673000000000528E-3</v>
          </cell>
          <cell r="D23">
            <v>1.34055746947872E-2</v>
          </cell>
          <cell r="E23">
            <v>2.028555601092763E-2</v>
          </cell>
          <cell r="F23">
            <v>0.1117676525635318</v>
          </cell>
          <cell r="G23">
            <v>0.17749429681225259</v>
          </cell>
          <cell r="H23">
            <v>0.13893451706079959</v>
          </cell>
          <cell r="I23">
            <v>0.107134023126658</v>
          </cell>
          <cell r="J23">
            <v>0.1107195820167468</v>
          </cell>
          <cell r="K23">
            <v>3.5199999999999898E-2</v>
          </cell>
          <cell r="L23">
            <v>5.6813619887999822E-2</v>
          </cell>
          <cell r="M23">
            <v>3.8563366779366337E-2</v>
          </cell>
          <cell r="N23">
            <v>0.1592335772126752</v>
          </cell>
          <cell r="O23">
            <v>0.20815735429916329</v>
          </cell>
          <cell r="P23">
            <v>0.14860453496100429</v>
          </cell>
          <cell r="Q23">
            <v>0.1202924196785458</v>
          </cell>
          <cell r="R23">
            <v>0.13156739100778189</v>
          </cell>
          <cell r="S23">
            <v>0.26716999713421141</v>
          </cell>
          <cell r="T23">
            <v>0.17242431806507999</v>
          </cell>
          <cell r="U23">
            <v>-7.7608178432540642E-2</v>
          </cell>
          <cell r="V23">
            <v>0.2685087416826839</v>
          </cell>
          <cell r="W23">
            <v>6.9484493602757436E-2</v>
          </cell>
          <cell r="X23">
            <v>0.18579928386096009</v>
          </cell>
          <cell r="Y23">
            <v>-1.734092389593855E-2</v>
          </cell>
          <cell r="Z23">
            <v>0.29426365037508218</v>
          </cell>
          <cell r="AA23">
            <v>0.21016918258785361</v>
          </cell>
          <cell r="AB23">
            <v>-0.1174573603921328</v>
          </cell>
          <cell r="AC23">
            <v>0.21310109733026381</v>
          </cell>
          <cell r="AD23">
            <v>0.13322710348184111</v>
          </cell>
          <cell r="AE23">
            <v>0.21910476774026419</v>
          </cell>
          <cell r="AF23">
            <v>6.3113667818059938E-4</v>
          </cell>
        </row>
        <row r="24">
          <cell r="A24" t="str">
            <v>Aviso 5-year Bond Ladder (Income)</v>
          </cell>
          <cell r="C24">
            <v>2.4612767695433302E-3</v>
          </cell>
          <cell r="D24">
            <v>7.4020188687664579E-3</v>
          </cell>
          <cell r="E24">
            <v>1.4858827620866769E-2</v>
          </cell>
          <cell r="F24">
            <v>2.993844E-2</v>
          </cell>
          <cell r="G24">
            <v>2.993844E-2</v>
          </cell>
          <cell r="H24">
            <v>2.993844E-2</v>
          </cell>
          <cell r="I24">
            <v>2.993844E-2</v>
          </cell>
          <cell r="J24">
            <v>2.993844E-2</v>
          </cell>
          <cell r="K24">
            <v>2.4612767695433302E-3</v>
          </cell>
          <cell r="L24">
            <v>7.4020188687664579E-3</v>
          </cell>
          <cell r="M24">
            <v>1.4858827620866769E-2</v>
          </cell>
          <cell r="N24">
            <v>2.993844E-2</v>
          </cell>
          <cell r="O24">
            <v>2.993844E-2</v>
          </cell>
          <cell r="P24">
            <v>2.993844E-2</v>
          </cell>
          <cell r="Q24">
            <v>2.993844E-2</v>
          </cell>
          <cell r="R24">
            <v>2.993844E-2</v>
          </cell>
          <cell r="S24">
            <v>2.993844E-2</v>
          </cell>
          <cell r="T24">
            <v>2.993844E-2</v>
          </cell>
          <cell r="U24">
            <v>2.993844E-2</v>
          </cell>
          <cell r="V24">
            <v>2.993844E-2</v>
          </cell>
          <cell r="W24">
            <v>2.993844E-2</v>
          </cell>
          <cell r="X24">
            <v>2.993844E-2</v>
          </cell>
          <cell r="Y24">
            <v>2.993844E-2</v>
          </cell>
          <cell r="Z24">
            <v>2.993844E-2</v>
          </cell>
          <cell r="AA24">
            <v>2.993844E-2</v>
          </cell>
          <cell r="AB24">
            <v>2.993844E-2</v>
          </cell>
          <cell r="AC24">
            <v>2.993844E-2</v>
          </cell>
          <cell r="AD24">
            <v>2.993844E-2</v>
          </cell>
          <cell r="AE24">
            <v>2.993844E-2</v>
          </cell>
          <cell r="AF24">
            <v>2.993844E-2</v>
          </cell>
        </row>
        <row r="25">
          <cell r="A25" t="str">
            <v>Aviso 5-year Bond Ladder (Taxable)</v>
          </cell>
          <cell r="C25">
            <v>2.3551441116920202E-3</v>
          </cell>
          <cell r="D25">
            <v>7.0820855097233348E-3</v>
          </cell>
          <cell r="E25">
            <v>1.4214326954613551E-2</v>
          </cell>
          <cell r="F25">
            <v>2.8630701000000008E-2</v>
          </cell>
          <cell r="G25">
            <v>2.8630701000000008E-2</v>
          </cell>
          <cell r="H25">
            <v>2.8630701000000008E-2</v>
          </cell>
          <cell r="I25">
            <v>2.8630701000000008E-2</v>
          </cell>
          <cell r="J25">
            <v>2.8630701000000008E-2</v>
          </cell>
          <cell r="K25">
            <v>2.3551441116920202E-3</v>
          </cell>
          <cell r="L25">
            <v>7.0820855097233348E-3</v>
          </cell>
          <cell r="M25">
            <v>1.4214326954613551E-2</v>
          </cell>
          <cell r="N25">
            <v>2.8630701000000008E-2</v>
          </cell>
          <cell r="O25">
            <v>2.8630701000000008E-2</v>
          </cell>
          <cell r="P25">
            <v>2.8630701000000008E-2</v>
          </cell>
          <cell r="Q25">
            <v>2.8630701000000008E-2</v>
          </cell>
          <cell r="R25">
            <v>2.8630701000000008E-2</v>
          </cell>
          <cell r="S25">
            <v>2.8630701000000008E-2</v>
          </cell>
          <cell r="T25">
            <v>2.8630701000000008E-2</v>
          </cell>
          <cell r="U25">
            <v>2.8630701000000008E-2</v>
          </cell>
          <cell r="V25">
            <v>2.8630701000000008E-2</v>
          </cell>
          <cell r="W25">
            <v>2.8630701000000008E-2</v>
          </cell>
          <cell r="X25">
            <v>2.8630701000000008E-2</v>
          </cell>
          <cell r="Y25">
            <v>2.8630701000000008E-2</v>
          </cell>
          <cell r="Z25">
            <v>2.8630701000000008E-2</v>
          </cell>
          <cell r="AA25">
            <v>2.8630701000000008E-2</v>
          </cell>
          <cell r="AB25">
            <v>2.8630701000000008E-2</v>
          </cell>
          <cell r="AC25">
            <v>2.8630701000000008E-2</v>
          </cell>
          <cell r="AD25">
            <v>2.8630701000000008E-2</v>
          </cell>
          <cell r="AE25">
            <v>2.8630701000000008E-2</v>
          </cell>
          <cell r="AF25">
            <v>2.8630701000000008E-2</v>
          </cell>
        </row>
        <row r="26">
          <cell r="A26" t="str">
            <v>Hamilton Lane Global Private Assets Fund</v>
          </cell>
          <cell r="C26">
            <v>1.7611999999999961E-2</v>
          </cell>
          <cell r="D26">
            <v>3.8858405488279901E-2</v>
          </cell>
          <cell r="E26">
            <v>2.0918223333737052E-2</v>
          </cell>
          <cell r="F26">
            <v>0.13953825248700241</v>
          </cell>
          <cell r="G26">
            <v>0.20127605577475821</v>
          </cell>
          <cell r="H26">
            <v>0.14467478939725781</v>
          </cell>
          <cell r="I26">
            <v>0.118374337323343</v>
          </cell>
          <cell r="J26">
            <v>9.2146810365936194E-2</v>
          </cell>
          <cell r="K26">
            <v>3.5199999999999898E-2</v>
          </cell>
          <cell r="L26">
            <v>5.6813619887999822E-2</v>
          </cell>
          <cell r="M26">
            <v>3.8563366779366337E-2</v>
          </cell>
          <cell r="N26">
            <v>0.1592335772126752</v>
          </cell>
          <cell r="O26">
            <v>0.20815735429916329</v>
          </cell>
          <cell r="P26">
            <v>0.14860453496100429</v>
          </cell>
          <cell r="Q26">
            <v>0.1202924196785458</v>
          </cell>
          <cell r="R26">
            <v>9.2978903224587128E-2</v>
          </cell>
          <cell r="S26">
            <v>0.29426365037508218</v>
          </cell>
          <cell r="T26">
            <v>0.21016918258785361</v>
          </cell>
          <cell r="U26">
            <v>-0.1174573603921328</v>
          </cell>
          <cell r="V26">
            <v>0.21310109733026381</v>
          </cell>
          <cell r="W26">
            <v>0.13322710348184111</v>
          </cell>
          <cell r="X26">
            <v>0.21910476774026419</v>
          </cell>
          <cell r="Y26">
            <v>6.3113667818059938E-4</v>
          </cell>
          <cell r="Z26">
            <v>0.29426365037508218</v>
          </cell>
          <cell r="AA26">
            <v>0.21016918258785361</v>
          </cell>
          <cell r="AB26">
            <v>-0.1174573603921328</v>
          </cell>
          <cell r="AC26">
            <v>0.21310109733026381</v>
          </cell>
          <cell r="AD26">
            <v>0.13322710348184111</v>
          </cell>
          <cell r="AE26">
            <v>0.21910476774026419</v>
          </cell>
          <cell r="AF26">
            <v>6.3113667818059938E-4</v>
          </cell>
        </row>
        <row r="27">
          <cell r="A27" t="str">
            <v>Brookfield Private Real Assets Fund</v>
          </cell>
          <cell r="C27">
            <v>9.300000000000086E-3</v>
          </cell>
          <cell r="D27">
            <v>-2.3638354104999929E-2</v>
          </cell>
          <cell r="E27">
            <v>1.9940912289510001E-2</v>
          </cell>
          <cell r="F27">
            <v>0.1126511403928179</v>
          </cell>
          <cell r="G27">
            <v>8.0205572124735225E-2</v>
          </cell>
          <cell r="H27">
            <v>7.319053656714436E-2</v>
          </cell>
          <cell r="I27">
            <v>5.394499691859167E-2</v>
          </cell>
          <cell r="J27">
            <v>6.2691999553548872E-2</v>
          </cell>
          <cell r="K27">
            <v>9.300000000000086E-3</v>
          </cell>
          <cell r="L27">
            <v>-2.3638354104999929E-2</v>
          </cell>
          <cell r="M27">
            <v>1.9940912289510001E-2</v>
          </cell>
          <cell r="N27">
            <v>0.1126511403928179</v>
          </cell>
          <cell r="O27">
            <v>8.0205572124735225E-2</v>
          </cell>
          <cell r="P27">
            <v>7.319053656714436E-2</v>
          </cell>
          <cell r="Q27">
            <v>5.394499691859167E-2</v>
          </cell>
          <cell r="R27">
            <v>6.2691999553548872E-2</v>
          </cell>
          <cell r="S27">
            <v>0.124788964358634</v>
          </cell>
          <cell r="T27">
            <v>5.4098630863060437E-2</v>
          </cell>
          <cell r="U27">
            <v>-3.4202652847085679E-2</v>
          </cell>
          <cell r="V27">
            <v>0.1455653061407236</v>
          </cell>
          <cell r="W27">
            <v>-8.3092281574879134E-3</v>
          </cell>
          <cell r="X27">
            <v>0.115914764648821</v>
          </cell>
          <cell r="Y27">
            <v>2.0091365915979601E-2</v>
          </cell>
          <cell r="Z27">
            <v>0.124788964358634</v>
          </cell>
          <cell r="AA27">
            <v>5.4098630863060437E-2</v>
          </cell>
          <cell r="AB27">
            <v>-3.4202652847085679E-2</v>
          </cell>
          <cell r="AC27">
            <v>0.1455653061407236</v>
          </cell>
          <cell r="AD27">
            <v>-8.3092281574879134E-3</v>
          </cell>
          <cell r="AE27">
            <v>0.115914764648821</v>
          </cell>
          <cell r="AF27">
            <v>2.0091365915979601E-2</v>
          </cell>
        </row>
        <row r="28">
          <cell r="A28" t="str">
            <v>Sagard Private Credit Fund</v>
          </cell>
          <cell r="C28">
            <v>6.506600000000029E-3</v>
          </cell>
          <cell r="D28">
            <v>1.876838765919087E-2</v>
          </cell>
          <cell r="E28">
            <v>1.9995107525208281E-2</v>
          </cell>
          <cell r="F28">
            <v>5.9071636193494648E-2</v>
          </cell>
          <cell r="G28">
            <v>8.8080506616657894E-2</v>
          </cell>
          <cell r="H28">
            <v>6.8760021177610042E-2</v>
          </cell>
          <cell r="I28">
            <v>4.4932211428522877E-2</v>
          </cell>
          <cell r="J28">
            <v>4.996055002208144E-2</v>
          </cell>
          <cell r="K28">
            <v>6.506600000000029E-3</v>
          </cell>
          <cell r="L28">
            <v>1.876838765919087E-2</v>
          </cell>
          <cell r="M28">
            <v>1.9995107525208281E-2</v>
          </cell>
          <cell r="N28">
            <v>5.9071636193494648E-2</v>
          </cell>
          <cell r="O28">
            <v>8.8080506616657894E-2</v>
          </cell>
          <cell r="P28">
            <v>6.8760021177610042E-2</v>
          </cell>
          <cell r="Q28">
            <v>4.4932211428522877E-2</v>
          </cell>
          <cell r="R28">
            <v>4.996055002208144E-2</v>
          </cell>
          <cell r="S28">
            <v>8.0714217637701147E-2</v>
          </cell>
          <cell r="T28">
            <v>0.1259456759958231</v>
          </cell>
          <cell r="U28">
            <v>-9.3833560932529148E-3</v>
          </cell>
          <cell r="V28">
            <v>5.1052418973622782E-2</v>
          </cell>
          <cell r="W28">
            <v>1.828699955803148E-2</v>
          </cell>
          <cell r="X28">
            <v>7.7349186294291661E-2</v>
          </cell>
          <cell r="Y28">
            <v>-4.6128794597813938E-3</v>
          </cell>
          <cell r="Z28">
            <v>8.0714217637701147E-2</v>
          </cell>
          <cell r="AA28">
            <v>0.1259456759958231</v>
          </cell>
          <cell r="AB28">
            <v>-9.3833560932529148E-3</v>
          </cell>
          <cell r="AC28">
            <v>5.1052418973622782E-2</v>
          </cell>
          <cell r="AD28">
            <v>1.828699955803148E-2</v>
          </cell>
          <cell r="AE28">
            <v>7.7349186294291661E-2</v>
          </cell>
          <cell r="AF28">
            <v>-4.6128794597813938E-3</v>
          </cell>
        </row>
        <row r="29">
          <cell r="A29" t="str">
            <v>Mawer EAFE Large Cap Fund</v>
          </cell>
          <cell r="C29">
            <v>-1.3900000000000019E-3</v>
          </cell>
          <cell r="D29">
            <v>6.2410980091998081E-3</v>
          </cell>
          <cell r="E29">
            <v>6.9388956390800116E-2</v>
          </cell>
          <cell r="F29">
            <v>0.10980135631350579</v>
          </cell>
          <cell r="G29">
            <v>0.15027340136031531</v>
          </cell>
          <cell r="H29">
            <v>8.8299249847922479E-2</v>
          </cell>
          <cell r="I29">
            <v>6.3914755822128022E-2</v>
          </cell>
          <cell r="J29">
            <v>7.3869519949001816E-2</v>
          </cell>
          <cell r="K29">
            <v>1.459999999999995E-2</v>
          </cell>
          <cell r="L29">
            <v>6.2589849487999727E-2</v>
          </cell>
          <cell r="M29">
            <v>0.1376520316387031</v>
          </cell>
          <cell r="N29">
            <v>0.17997363392522231</v>
          </cell>
          <cell r="O29">
            <v>0.1876408791383288</v>
          </cell>
          <cell r="P29">
            <v>0.11667047914568179</v>
          </cell>
          <cell r="Q29">
            <v>7.731190454466641E-2</v>
          </cell>
          <cell r="R29">
            <v>7.901022020326276E-2</v>
          </cell>
          <cell r="S29">
            <v>9.2049378719037733E-2</v>
          </cell>
          <cell r="T29">
            <v>0.1898117381043074</v>
          </cell>
          <cell r="U29">
            <v>-0.1603738713607461</v>
          </cell>
          <cell r="V29">
            <v>0.16507135840840581</v>
          </cell>
          <cell r="W29">
            <v>5.4079106591117247E-2</v>
          </cell>
          <cell r="X29">
            <v>0.15845914942998779</v>
          </cell>
          <cell r="Y29">
            <v>-6.0255804356564857E-2</v>
          </cell>
          <cell r="Z29">
            <v>0.13811859200861359</v>
          </cell>
          <cell r="AA29">
            <v>0.1566567055638326</v>
          </cell>
          <cell r="AB29">
            <v>-7.7705292109581325E-2</v>
          </cell>
          <cell r="AC29">
            <v>0.10817931502983601</v>
          </cell>
          <cell r="AD29">
            <v>5.377222737175158E-2</v>
          </cell>
          <cell r="AE29">
            <v>0.1645435923658487</v>
          </cell>
          <cell r="AF29">
            <v>-5.5537819245731417E-2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5C09-F373-4DF4-94E4-3820E8317037}">
  <dimension ref="A1:AG29"/>
  <sheetViews>
    <sheetView tabSelected="1" topLeftCell="E1" workbookViewId="0">
      <selection activeCell="AG2" sqref="AG2"/>
    </sheetView>
  </sheetViews>
  <sheetFormatPr defaultRowHeight="15" x14ac:dyDescent="0.25"/>
  <cols>
    <col min="1" max="1" width="41.140625" bestFit="1" customWidth="1"/>
    <col min="2" max="2" width="94.28515625" bestFit="1" customWidth="1"/>
  </cols>
  <sheetData>
    <row r="1" spans="1:3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71</v>
      </c>
      <c r="T1" s="1" t="s">
        <v>64</v>
      </c>
      <c r="U1" s="1" t="s">
        <v>65</v>
      </c>
      <c r="V1" s="1" t="s">
        <v>66</v>
      </c>
      <c r="W1" s="1" t="s">
        <v>67</v>
      </c>
      <c r="X1" s="1" t="s">
        <v>68</v>
      </c>
      <c r="Y1" s="1" t="s">
        <v>69</v>
      </c>
      <c r="Z1" s="1" t="s">
        <v>72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</row>
    <row r="2" spans="1:33" x14ac:dyDescent="0.25">
      <c r="A2" t="s">
        <v>24</v>
      </c>
      <c r="B2" t="s">
        <v>25</v>
      </c>
      <c r="C2" s="2">
        <f>_xlfn.XLOOKUP($A2,[1]Returns!$A:$A,[1]Returns!C:C)</f>
        <v>6.4766065573771403E-3</v>
      </c>
      <c r="D2" s="2">
        <f>_xlfn.XLOOKUP($A2,[1]Returns!$A:$A,[1]Returns!D:D)</f>
        <v>1.3934561058376319E-2</v>
      </c>
      <c r="E2" s="2">
        <f>_xlfn.XLOOKUP($A2,[1]Returns!$A:$A,[1]Returns!E:E)</f>
        <v>4.1389457558565823E-2</v>
      </c>
      <c r="F2" s="2">
        <f>_xlfn.XLOOKUP($A2,[1]Returns!$A:$A,[1]Returns!F:F)</f>
        <v>0.1055936614220325</v>
      </c>
      <c r="G2" s="2">
        <f>_xlfn.XLOOKUP($A2,[1]Returns!$A:$A,[1]Returns!G:G)</f>
        <v>6.6158371848539899E-2</v>
      </c>
      <c r="H2" s="2">
        <f>_xlfn.XLOOKUP($A2,[1]Returns!$A:$A,[1]Returns!H:H)</f>
        <v>5.3137582555110807E-2</v>
      </c>
      <c r="I2" s="2">
        <f>_xlfn.XLOOKUP($A2,[1]Returns!$A:$A,[1]Returns!I:I)</f>
        <v>5.0274537966843218E-2</v>
      </c>
      <c r="J2" s="2">
        <f>_xlfn.XLOOKUP($A2,[1]Returns!$A:$A,[1]Returns!J:J)</f>
        <v>6.0030081433420028E-2</v>
      </c>
      <c r="K2" s="2">
        <f>_xlfn.XLOOKUP($A2,[1]Returns!$A:$A,[1]Returns!K:K)</f>
        <v>1.019999999999999E-2</v>
      </c>
      <c r="L2" s="2">
        <f>_xlfn.XLOOKUP($A2,[1]Returns!$A:$A,[1]Returns!L:L)</f>
        <v>1.8948938120000092E-2</v>
      </c>
      <c r="M2" s="2">
        <f>_xlfn.XLOOKUP($A2,[1]Returns!$A:$A,[1]Returns!M:M)</f>
        <v>3.3586949941350593E-2</v>
      </c>
      <c r="N2" s="2">
        <f>_xlfn.XLOOKUP($A2,[1]Returns!$A:$A,[1]Returns!N:N)</f>
        <v>0.1116523111242109</v>
      </c>
      <c r="O2" s="2">
        <f>_xlfn.XLOOKUP($A2,[1]Returns!$A:$A,[1]Returns!O:O)</f>
        <v>8.182393955332623E-2</v>
      </c>
      <c r="P2" s="2">
        <f>_xlfn.XLOOKUP($A2,[1]Returns!$A:$A,[1]Returns!P:P)</f>
        <v>4.2703236234141739E-2</v>
      </c>
      <c r="Q2" s="2">
        <f>_xlfn.XLOOKUP($A2,[1]Returns!$A:$A,[1]Returns!Q:Q)</f>
        <v>4.7675208314213569E-2</v>
      </c>
      <c r="R2" s="2">
        <f>_xlfn.XLOOKUP($A2,[1]Returns!$A:$A,[1]Returns!R:R)</f>
        <v>5.4269485265538993E-2</v>
      </c>
      <c r="S2" s="2">
        <f>_xlfn.XLOOKUP($A2,[1]Returns!$A:$A,[1]Returns!S:S)</f>
        <v>7.110857750516808E-2</v>
      </c>
      <c r="T2" s="2">
        <f>_xlfn.XLOOKUP($A2,[1]Returns!$A:$A,[1]Returns!T:T)</f>
        <v>6.9503962505472972E-2</v>
      </c>
      <c r="U2" s="2">
        <f>_xlfn.XLOOKUP($A2,[1]Returns!$A:$A,[1]Returns!U:U)</f>
        <v>-6.7351246961500744E-2</v>
      </c>
      <c r="V2" s="2">
        <f>_xlfn.XLOOKUP($A2,[1]Returns!$A:$A,[1]Returns!V:V)</f>
        <v>8.5023922266367569E-2</v>
      </c>
      <c r="W2" s="2">
        <f>_xlfn.XLOOKUP($A2,[1]Returns!$A:$A,[1]Returns!W:W)</f>
        <v>8.9842946766752751E-2</v>
      </c>
      <c r="X2" s="2">
        <f>_xlfn.XLOOKUP($A2,[1]Returns!$A:$A,[1]Returns!X:X)</f>
        <v>0.10176585775880009</v>
      </c>
      <c r="Y2" s="2">
        <f>_xlfn.XLOOKUP($A2,[1]Returns!$A:$A,[1]Returns!Y:Y)</f>
        <v>-2.6719568605251261E-3</v>
      </c>
      <c r="Z2" s="2">
        <f>_xlfn.XLOOKUP($A2,[1]Returns!$A:$A,[1]Returns!Z:Z)</f>
        <v>0.1021823224916296</v>
      </c>
      <c r="AA2" s="2">
        <f>_xlfn.XLOOKUP($A2,[1]Returns!$A:$A,[1]Returns!AA:AA)</f>
        <v>8.7716228179286926E-2</v>
      </c>
      <c r="AB2" s="2">
        <f>_xlfn.XLOOKUP($A2,[1]Returns!$A:$A,[1]Returns!AB:AB)</f>
        <v>-0.1007791321090222</v>
      </c>
      <c r="AC2" s="2">
        <f>_xlfn.XLOOKUP($A2,[1]Returns!$A:$A,[1]Returns!AC:AC)</f>
        <v>5.4533862712955017E-2</v>
      </c>
      <c r="AD2" s="2">
        <f>_xlfn.XLOOKUP($A2,[1]Returns!$A:$A,[1]Returns!AD:AD)</f>
        <v>9.2753957970583167E-2</v>
      </c>
      <c r="AE2" s="2">
        <f>_xlfn.XLOOKUP($A2,[1]Returns!$A:$A,[1]Returns!AE:AE)</f>
        <v>0.1168755683777853</v>
      </c>
      <c r="AF2" s="2">
        <f>_xlfn.XLOOKUP($A2,[1]Returns!$A:$A,[1]Returns!AF:AF)</f>
        <v>-3.3133518868777578E-4</v>
      </c>
      <c r="AG2">
        <v>36301330.950000003</v>
      </c>
    </row>
    <row r="3" spans="1:33" x14ac:dyDescent="0.25">
      <c r="A3" t="s">
        <v>26</v>
      </c>
      <c r="B3" t="s">
        <v>27</v>
      </c>
      <c r="C3" s="2">
        <f>_xlfn.XLOOKUP($A3,[1]Returns!$A:$A,[1]Returns!C:C)</f>
        <v>2.2431480000000281E-3</v>
      </c>
      <c r="D3" s="2">
        <f>_xlfn.XLOOKUP($A3,[1]Returns!$A:$A,[1]Returns!D:D)</f>
        <v>1.940774494427089E-3</v>
      </c>
      <c r="E3" s="2">
        <f>_xlfn.XLOOKUP($A3,[1]Returns!$A:$A,[1]Returns!E:E)</f>
        <v>2.1522867150379099E-2</v>
      </c>
      <c r="F3" s="2">
        <f>_xlfn.XLOOKUP($A3,[1]Returns!$A:$A,[1]Returns!F:F)</f>
        <v>6.7164870077768279E-2</v>
      </c>
      <c r="G3" s="2">
        <f>_xlfn.XLOOKUP($A3,[1]Returns!$A:$A,[1]Returns!G:G)</f>
        <v>4.5049602682181833E-2</v>
      </c>
      <c r="H3" s="2">
        <f>_xlfn.XLOOKUP($A3,[1]Returns!$A:$A,[1]Returns!H:H)</f>
        <v>9.579391381833835E-3</v>
      </c>
      <c r="I3" s="2">
        <f>_xlfn.XLOOKUP($A3,[1]Returns!$A:$A,[1]Returns!I:I)</f>
        <v>1.8885830099319541E-2</v>
      </c>
      <c r="J3" s="2">
        <f>_xlfn.XLOOKUP($A3,[1]Returns!$A:$A,[1]Returns!J:J)</f>
        <v>4.375526677979602E-2</v>
      </c>
      <c r="K3" s="2">
        <f>_xlfn.XLOOKUP($A3,[1]Returns!$A:$A,[1]Returns!K:K)</f>
        <v>2.5999999999999361E-3</v>
      </c>
      <c r="L3" s="2">
        <f>_xlfn.XLOOKUP($A3,[1]Returns!$A:$A,[1]Returns!L:L)</f>
        <v>1.9984901300000861E-3</v>
      </c>
      <c r="M3" s="2">
        <f>_xlfn.XLOOKUP($A3,[1]Returns!$A:$A,[1]Returns!M:M)</f>
        <v>2.2254087683039488E-2</v>
      </c>
      <c r="N3" s="2">
        <f>_xlfn.XLOOKUP($A3,[1]Returns!$A:$A,[1]Returns!N:N)</f>
        <v>6.6970823135683588E-2</v>
      </c>
      <c r="O3" s="2">
        <f>_xlfn.XLOOKUP($A3,[1]Returns!$A:$A,[1]Returns!O:O)</f>
        <v>4.5544669952795942E-2</v>
      </c>
      <c r="P3" s="2">
        <f>_xlfn.XLOOKUP($A3,[1]Returns!$A:$A,[1]Returns!P:P)</f>
        <v>1.221329943752991E-2</v>
      </c>
      <c r="Q3" s="2">
        <f>_xlfn.XLOOKUP($A3,[1]Returns!$A:$A,[1]Returns!Q:Q)</f>
        <v>1.9220883346398931E-2</v>
      </c>
      <c r="R3" s="2">
        <f>_xlfn.XLOOKUP($A3,[1]Returns!$A:$A,[1]Returns!R:R)</f>
        <v>4.1202021355724483E-2</v>
      </c>
      <c r="S3" s="2">
        <f>_xlfn.XLOOKUP($A3,[1]Returns!$A:$A,[1]Returns!S:S)</f>
        <v>5.1696869975270232E-2</v>
      </c>
      <c r="T3" s="2">
        <f>_xlfn.XLOOKUP($A3,[1]Returns!$A:$A,[1]Returns!T:T)</f>
        <v>5.9227296447104998E-2</v>
      </c>
      <c r="U3" s="2">
        <f>_xlfn.XLOOKUP($A3,[1]Returns!$A:$A,[1]Returns!U:U)</f>
        <v>-7.4084527114463228E-2</v>
      </c>
      <c r="V3" s="2">
        <f>_xlfn.XLOOKUP($A3,[1]Returns!$A:$A,[1]Returns!V:V)</f>
        <v>-2.07639840561471E-2</v>
      </c>
      <c r="W3" s="2">
        <f>_xlfn.XLOOKUP($A3,[1]Returns!$A:$A,[1]Returns!W:W)</f>
        <v>7.2733709335903507E-2</v>
      </c>
      <c r="X3" s="2">
        <f>_xlfn.XLOOKUP($A3,[1]Returns!$A:$A,[1]Returns!X:X)</f>
        <v>4.2417853556049989E-2</v>
      </c>
      <c r="Y3" s="2">
        <f>_xlfn.XLOOKUP($A3,[1]Returns!$A:$A,[1]Returns!Y:Y)</f>
        <v>1.5143026145177931E-2</v>
      </c>
      <c r="Z3" s="2">
        <f>_xlfn.XLOOKUP($A3,[1]Returns!$A:$A,[1]Returns!Z:Z)</f>
        <v>5.3406602437456867E-2</v>
      </c>
      <c r="AA3" s="2">
        <f>_xlfn.XLOOKUP($A3,[1]Returns!$A:$A,[1]Returns!AA:AA)</f>
        <v>5.4237633096663178E-2</v>
      </c>
      <c r="AB3" s="2">
        <f>_xlfn.XLOOKUP($A3,[1]Returns!$A:$A,[1]Returns!AB:AB)</f>
        <v>-6.2297397020487977E-2</v>
      </c>
      <c r="AC3" s="2">
        <f>_xlfn.XLOOKUP($A3,[1]Returns!$A:$A,[1]Returns!AC:AC)</f>
        <v>-1.533915638406891E-2</v>
      </c>
      <c r="AD3" s="2">
        <f>_xlfn.XLOOKUP($A3,[1]Returns!$A:$A,[1]Returns!AD:AD)</f>
        <v>6.1174539832829611E-2</v>
      </c>
      <c r="AE3" s="2">
        <f>_xlfn.XLOOKUP($A3,[1]Returns!$A:$A,[1]Returns!AE:AE)</f>
        <v>4.0268031248332781E-2</v>
      </c>
      <c r="AF3" s="2">
        <f>_xlfn.XLOOKUP($A3,[1]Returns!$A:$A,[1]Returns!AF:AF)</f>
        <v>1.9121810314036921E-2</v>
      </c>
      <c r="AG3">
        <v>92256175.709999993</v>
      </c>
    </row>
    <row r="4" spans="1:33" x14ac:dyDescent="0.25">
      <c r="A4" t="s">
        <v>28</v>
      </c>
      <c r="B4" t="s">
        <v>29</v>
      </c>
      <c r="C4" s="2">
        <f>_xlfn.XLOOKUP($A4,[1]Returns!$A:$A,[1]Returns!C:C)</f>
        <v>2.062219277108435E-2</v>
      </c>
      <c r="D4" s="2">
        <f>_xlfn.XLOOKUP($A4,[1]Returns!$A:$A,[1]Returns!D:D)</f>
        <v>5.3552617863060759E-2</v>
      </c>
      <c r="E4" s="2">
        <f>_xlfn.XLOOKUP($A4,[1]Returns!$A:$A,[1]Returns!E:E)</f>
        <v>4.6429153916799581E-2</v>
      </c>
      <c r="F4" s="2">
        <f>_xlfn.XLOOKUP($A4,[1]Returns!$A:$A,[1]Returns!F:F)</f>
        <v>0.1506263396876262</v>
      </c>
      <c r="G4" s="2">
        <f>_xlfn.XLOOKUP($A4,[1]Returns!$A:$A,[1]Returns!G:G)</f>
        <v>0.19052681859449791</v>
      </c>
      <c r="H4" s="2">
        <f>_xlfn.XLOOKUP($A4,[1]Returns!$A:$A,[1]Returns!H:H)</f>
        <v>0.17751597544911449</v>
      </c>
      <c r="I4" s="2">
        <f>_xlfn.XLOOKUP($A4,[1]Returns!$A:$A,[1]Returns!I:I)</f>
        <v>0.13116838095324601</v>
      </c>
      <c r="J4" s="2">
        <f>_xlfn.XLOOKUP($A4,[1]Returns!$A:$A,[1]Returns!J:J)</f>
        <v>9.9182195825684216E-2</v>
      </c>
      <c r="K4" s="2">
        <f>_xlfn.XLOOKUP($A4,[1]Returns!$A:$A,[1]Returns!K:K)</f>
        <v>2.849999999999997E-2</v>
      </c>
      <c r="L4" s="2">
        <f>_xlfn.XLOOKUP($A4,[1]Returns!$A:$A,[1]Returns!L:L)</f>
        <v>6.8802574729999844E-2</v>
      </c>
      <c r="M4" s="2">
        <f>_xlfn.XLOOKUP($A4,[1]Returns!$A:$A,[1]Returns!M:M)</f>
        <v>6.8171590533641524E-2</v>
      </c>
      <c r="N4" s="2">
        <f>_xlfn.XLOOKUP($A4,[1]Returns!$A:$A,[1]Returns!N:N)</f>
        <v>0.228514766332478</v>
      </c>
      <c r="O4" s="2">
        <f>_xlfn.XLOOKUP($A4,[1]Returns!$A:$A,[1]Returns!O:O)</f>
        <v>0.1751519605071683</v>
      </c>
      <c r="P4" s="2">
        <f>_xlfn.XLOOKUP($A4,[1]Returns!$A:$A,[1]Returns!P:P)</f>
        <v>0.15586823555346041</v>
      </c>
      <c r="Q4" s="2">
        <f>_xlfn.XLOOKUP($A4,[1]Returns!$A:$A,[1]Returns!Q:Q)</f>
        <v>0.11477365379137459</v>
      </c>
      <c r="R4" s="2">
        <f>_xlfn.XLOOKUP($A4,[1]Returns!$A:$A,[1]Returns!R:R)</f>
        <v>6.9776228263879636E-2</v>
      </c>
      <c r="S4" s="2">
        <f>_xlfn.XLOOKUP($A4,[1]Returns!$A:$A,[1]Returns!S:S)</f>
        <v>0.20300051409891351</v>
      </c>
      <c r="T4" s="2">
        <f>_xlfn.XLOOKUP($A4,[1]Returns!$A:$A,[1]Returns!T:T)</f>
        <v>0.22666917874780079</v>
      </c>
      <c r="U4" s="2">
        <f>_xlfn.XLOOKUP($A4,[1]Returns!$A:$A,[1]Returns!U:U)</f>
        <v>-3.3374670046121817E-2</v>
      </c>
      <c r="V4" s="2">
        <f>_xlfn.XLOOKUP($A4,[1]Returns!$A:$A,[1]Returns!V:V)</f>
        <v>0.29477003772115862</v>
      </c>
      <c r="W4" s="2">
        <f>_xlfn.XLOOKUP($A4,[1]Returns!$A:$A,[1]Returns!W:W)</f>
        <v>0.12321388075036779</v>
      </c>
      <c r="X4" s="2">
        <f>_xlfn.XLOOKUP($A4,[1]Returns!$A:$A,[1]Returns!X:X)</f>
        <v>0.1946031324946251</v>
      </c>
      <c r="Y4" s="2">
        <f>_xlfn.XLOOKUP($A4,[1]Returns!$A:$A,[1]Returns!Y:Y)</f>
        <v>-2.283559756047659E-3</v>
      </c>
      <c r="Z4" s="2">
        <f>_xlfn.XLOOKUP($A4,[1]Returns!$A:$A,[1]Returns!Z:Z)</f>
        <v>0.25589403569629132</v>
      </c>
      <c r="AA4" s="2">
        <f>_xlfn.XLOOKUP($A4,[1]Returns!$A:$A,[1]Returns!AA:AA)</f>
        <v>0.1488587438947935</v>
      </c>
      <c r="AB4" s="2">
        <f>_xlfn.XLOOKUP($A4,[1]Returns!$A:$A,[1]Returns!AB:AB)</f>
        <v>-7.4243142523677252E-2</v>
      </c>
      <c r="AC4" s="2">
        <f>_xlfn.XLOOKUP($A4,[1]Returns!$A:$A,[1]Returns!AC:AC)</f>
        <v>0.27962037205920343</v>
      </c>
      <c r="AD4" s="2">
        <f>_xlfn.XLOOKUP($A4,[1]Returns!$A:$A,[1]Returns!AD:AD)</f>
        <v>8.6160849121817984E-2</v>
      </c>
      <c r="AE4" s="2">
        <f>_xlfn.XLOOKUP($A4,[1]Returns!$A:$A,[1]Returns!AE:AE)</f>
        <v>0.22822661859954649</v>
      </c>
      <c r="AF4" s="2">
        <f>_xlfn.XLOOKUP($A4,[1]Returns!$A:$A,[1]Returns!AF:AF)</f>
        <v>-4.0965727438507897E-2</v>
      </c>
      <c r="AG4">
        <v>186211715.16999999</v>
      </c>
    </row>
    <row r="5" spans="1:33" x14ac:dyDescent="0.25">
      <c r="A5" t="s">
        <v>30</v>
      </c>
      <c r="B5" t="s">
        <v>31</v>
      </c>
      <c r="C5" s="2">
        <f>_xlfn.XLOOKUP($A5,[1]Returns!$A:$A,[1]Returns!C:C)</f>
        <v>2.1507232558139581E-2</v>
      </c>
      <c r="D5" s="2">
        <f>_xlfn.XLOOKUP($A5,[1]Returns!$A:$A,[1]Returns!D:D)</f>
        <v>6.6701393835959966E-2</v>
      </c>
      <c r="E5" s="2">
        <f>_xlfn.XLOOKUP($A5,[1]Returns!$A:$A,[1]Returns!E:E)</f>
        <v>8.8515012440417262E-2</v>
      </c>
      <c r="F5" s="2">
        <f>_xlfn.XLOOKUP($A5,[1]Returns!$A:$A,[1]Returns!F:F)</f>
        <v>0.2069181162686915</v>
      </c>
      <c r="G5" s="2">
        <f>_xlfn.XLOOKUP($A5,[1]Returns!$A:$A,[1]Returns!G:G)</f>
        <v>0.1422469647626379</v>
      </c>
      <c r="H5" s="2">
        <f>_xlfn.XLOOKUP($A5,[1]Returns!$A:$A,[1]Returns!H:H)</f>
        <v>0.1071219142607331</v>
      </c>
      <c r="I5" s="2">
        <f>_xlfn.XLOOKUP($A5,[1]Returns!$A:$A,[1]Returns!I:I)</f>
        <v>7.5133022668533389E-2</v>
      </c>
      <c r="J5" s="2">
        <f>_xlfn.XLOOKUP($A5,[1]Returns!$A:$A,[1]Returns!J:J)</f>
        <v>7.8989632808853294E-2</v>
      </c>
      <c r="K5" s="2">
        <f>_xlfn.XLOOKUP($A5,[1]Returns!$A:$A,[1]Returns!K:K)</f>
        <v>1.7700000000000049E-2</v>
      </c>
      <c r="L5" s="2">
        <f>_xlfn.XLOOKUP($A5,[1]Returns!$A:$A,[1]Returns!L:L)</f>
        <v>4.8325768224000143E-2</v>
      </c>
      <c r="M5" s="2">
        <f>_xlfn.XLOOKUP($A5,[1]Returns!$A:$A,[1]Returns!M:M)</f>
        <v>6.6428609533619287E-2</v>
      </c>
      <c r="N5" s="2">
        <f>_xlfn.XLOOKUP($A5,[1]Returns!$A:$A,[1]Returns!N:N)</f>
        <v>0.1795405094264271</v>
      </c>
      <c r="O5" s="2">
        <f>_xlfn.XLOOKUP($A5,[1]Returns!$A:$A,[1]Returns!O:O)</f>
        <v>0.11353946446012329</v>
      </c>
      <c r="P5" s="2">
        <f>_xlfn.XLOOKUP($A5,[1]Returns!$A:$A,[1]Returns!P:P)</f>
        <v>8.8070538640133256E-2</v>
      </c>
      <c r="Q5" s="2">
        <f>_xlfn.XLOOKUP($A5,[1]Returns!$A:$A,[1]Returns!Q:Q)</f>
        <v>6.7143602015746984E-2</v>
      </c>
      <c r="R5" s="2">
        <f>_xlfn.XLOOKUP($A5,[1]Returns!$A:$A,[1]Returns!R:R)</f>
        <v>7.5190638967507439E-2</v>
      </c>
      <c r="S5" s="2">
        <f>_xlfn.XLOOKUP($A5,[1]Returns!$A:$A,[1]Returns!S:S)</f>
        <v>0.16909176936559361</v>
      </c>
      <c r="T5" s="2">
        <f>_xlfn.XLOOKUP($A5,[1]Returns!$A:$A,[1]Returns!T:T)</f>
        <v>0.12328855877582499</v>
      </c>
      <c r="U5" s="2">
        <f>_xlfn.XLOOKUP($A5,[1]Returns!$A:$A,[1]Returns!U:U)</f>
        <v>-7.2623009670554461E-2</v>
      </c>
      <c r="V5" s="2">
        <f>_xlfn.XLOOKUP($A5,[1]Returns!$A:$A,[1]Returns!V:V)</f>
        <v>0.13359880186010689</v>
      </c>
      <c r="W5" s="2">
        <f>_xlfn.XLOOKUP($A5,[1]Returns!$A:$A,[1]Returns!W:W)</f>
        <v>7.0964251198278427E-2</v>
      </c>
      <c r="X5" s="2">
        <f>_xlfn.XLOOKUP($A5,[1]Returns!$A:$A,[1]Returns!X:X)</f>
        <v>0.1324110955443196</v>
      </c>
      <c r="Y5" s="2">
        <f>_xlfn.XLOOKUP($A5,[1]Returns!$A:$A,[1]Returns!Y:Y)</f>
        <v>-2.7766693482052299E-2</v>
      </c>
      <c r="Z5" s="2">
        <f>_xlfn.XLOOKUP($A5,[1]Returns!$A:$A,[1]Returns!Z:Z)</f>
        <v>0.14435513740520059</v>
      </c>
      <c r="AA5" s="2">
        <f>_xlfn.XLOOKUP($A5,[1]Returns!$A:$A,[1]Returns!AA:AA)</f>
        <v>9.7290450620474145E-2</v>
      </c>
      <c r="AB5" s="2">
        <f>_xlfn.XLOOKUP($A5,[1]Returns!$A:$A,[1]Returns!AB:AB)</f>
        <v>-7.8060196500178036E-2</v>
      </c>
      <c r="AC5" s="2">
        <f>_xlfn.XLOOKUP($A5,[1]Returns!$A:$A,[1]Returns!AC:AC)</f>
        <v>0.1351871011014274</v>
      </c>
      <c r="AD5" s="2">
        <f>_xlfn.XLOOKUP($A5,[1]Returns!$A:$A,[1]Returns!AD:AD)</f>
        <v>7.8614809902556315E-2</v>
      </c>
      <c r="AE5" s="2">
        <f>_xlfn.XLOOKUP($A5,[1]Returns!$A:$A,[1]Returns!AE:AE)</f>
        <v>0.16333273441343341</v>
      </c>
      <c r="AF5" s="2">
        <f>_xlfn.XLOOKUP($A5,[1]Returns!$A:$A,[1]Returns!AF:AF)</f>
        <v>-4.6556803672422993E-2</v>
      </c>
      <c r="AG5">
        <v>18333995.43</v>
      </c>
    </row>
    <row r="6" spans="1:33" x14ac:dyDescent="0.25">
      <c r="A6" t="s">
        <v>32</v>
      </c>
      <c r="B6" t="s">
        <v>33</v>
      </c>
      <c r="C6" s="2">
        <f>_xlfn.XLOOKUP($A6,[1]Returns!$A:$A,[1]Returns!C:C)</f>
        <v>3.1918066666666738E-2</v>
      </c>
      <c r="D6" s="2">
        <f>_xlfn.XLOOKUP($A6,[1]Returns!$A:$A,[1]Returns!D:D)</f>
        <v>0.106652512761497</v>
      </c>
      <c r="E6" s="2">
        <f>_xlfn.XLOOKUP($A6,[1]Returns!$A:$A,[1]Returns!E:E)</f>
        <v>0.12728118355626639</v>
      </c>
      <c r="F6" s="2">
        <f>_xlfn.XLOOKUP($A6,[1]Returns!$A:$A,[1]Returns!F:F)</f>
        <v>0.29194426639414739</v>
      </c>
      <c r="G6" s="2">
        <f>_xlfn.XLOOKUP($A6,[1]Returns!$A:$A,[1]Returns!G:G)</f>
        <v>0.19664739335041251</v>
      </c>
      <c r="H6" s="2">
        <f>_xlfn.XLOOKUP($A6,[1]Returns!$A:$A,[1]Returns!H:H)</f>
        <v>0.17083632575058291</v>
      </c>
      <c r="I6" s="2">
        <f>_xlfn.XLOOKUP($A6,[1]Returns!$A:$A,[1]Returns!I:I)</f>
        <v>0.10278275857156551</v>
      </c>
      <c r="J6" s="2">
        <f>_xlfn.XLOOKUP($A6,[1]Returns!$A:$A,[1]Returns!J:J)</f>
        <v>8.7971000874423888E-2</v>
      </c>
      <c r="K6" s="2">
        <f>_xlfn.XLOOKUP($A6,[1]Returns!$A:$A,[1]Returns!K:K)</f>
        <v>2.90999999999999E-2</v>
      </c>
      <c r="L6" s="2">
        <f>_xlfn.XLOOKUP($A6,[1]Returns!$A:$A,[1]Returns!L:L)</f>
        <v>8.5231642040000111E-2</v>
      </c>
      <c r="M6" s="2">
        <f>_xlfn.XLOOKUP($A6,[1]Returns!$A:$A,[1]Returns!M:M)</f>
        <v>0.10161627611346891</v>
      </c>
      <c r="N6" s="2">
        <f>_xlfn.XLOOKUP($A6,[1]Returns!$A:$A,[1]Returns!N:N)</f>
        <v>0.26355768014352893</v>
      </c>
      <c r="O6" s="2">
        <f>_xlfn.XLOOKUP($A6,[1]Returns!$A:$A,[1]Returns!O:O)</f>
        <v>0.16174791700777269</v>
      </c>
      <c r="P6" s="2">
        <f>_xlfn.XLOOKUP($A6,[1]Returns!$A:$A,[1]Returns!P:P)</f>
        <v>0.1506785074338641</v>
      </c>
      <c r="Q6" s="2">
        <f>_xlfn.XLOOKUP($A6,[1]Returns!$A:$A,[1]Returns!Q:Q)</f>
        <v>9.6297839011893149E-2</v>
      </c>
      <c r="R6" s="2">
        <f>_xlfn.XLOOKUP($A6,[1]Returns!$A:$A,[1]Returns!R:R)</f>
        <v>7.6894726818429682E-2</v>
      </c>
      <c r="S6" s="2">
        <f>_xlfn.XLOOKUP($A6,[1]Returns!$A:$A,[1]Returns!S:S)</f>
        <v>0.2464799745561268</v>
      </c>
      <c r="T6" s="2">
        <f>_xlfn.XLOOKUP($A6,[1]Returns!$A:$A,[1]Returns!T:T)</f>
        <v>0.1481932347269663</v>
      </c>
      <c r="U6" s="2">
        <f>_xlfn.XLOOKUP($A6,[1]Returns!$A:$A,[1]Returns!U:U)</f>
        <v>-4.4647519966674272E-2</v>
      </c>
      <c r="V6" s="2">
        <f>_xlfn.XLOOKUP($A6,[1]Returns!$A:$A,[1]Returns!V:V)</f>
        <v>0.22858982038478379</v>
      </c>
      <c r="W6" s="2">
        <f>_xlfn.XLOOKUP($A6,[1]Returns!$A:$A,[1]Returns!W:W)</f>
        <v>3.2613190352135168E-2</v>
      </c>
      <c r="X6" s="2">
        <f>_xlfn.XLOOKUP($A6,[1]Returns!$A:$A,[1]Returns!X:X)</f>
        <v>0.16910836648109909</v>
      </c>
      <c r="Y6" s="2">
        <f>_xlfn.XLOOKUP($A6,[1]Returns!$A:$A,[1]Returns!Y:Y)</f>
        <v>-6.0702708212991729E-2</v>
      </c>
      <c r="Z6" s="2">
        <f>_xlfn.XLOOKUP($A6,[1]Returns!$A:$A,[1]Returns!Z:Z)</f>
        <v>0.21639791486141899</v>
      </c>
      <c r="AA6" s="2">
        <f>_xlfn.XLOOKUP($A6,[1]Returns!$A:$A,[1]Returns!AA:AA)</f>
        <v>0.12021853546487481</v>
      </c>
      <c r="AB6" s="2">
        <f>_xlfn.XLOOKUP($A6,[1]Returns!$A:$A,[1]Returns!AB:AB)</f>
        <v>-5.861422986020437E-2</v>
      </c>
      <c r="AC6" s="2">
        <f>_xlfn.XLOOKUP($A6,[1]Returns!$A:$A,[1]Returns!AC:AC)</f>
        <v>0.25087973789207202</v>
      </c>
      <c r="AD6" s="2">
        <f>_xlfn.XLOOKUP($A6,[1]Returns!$A:$A,[1]Returns!AD:AD)</f>
        <v>5.5915166451887321E-2</v>
      </c>
      <c r="AE6" s="2">
        <f>_xlfn.XLOOKUP($A6,[1]Returns!$A:$A,[1]Returns!AE:AE)</f>
        <v>0.22876839007651761</v>
      </c>
      <c r="AF6" s="2">
        <f>_xlfn.XLOOKUP($A6,[1]Returns!$A:$A,[1]Returns!AF:AF)</f>
        <v>-8.8861093780151279E-2</v>
      </c>
      <c r="AG6">
        <v>22622943.23</v>
      </c>
    </row>
    <row r="7" spans="1:33" x14ac:dyDescent="0.25">
      <c r="A7" t="s">
        <v>34</v>
      </c>
      <c r="B7" t="s">
        <v>35</v>
      </c>
      <c r="C7" s="2">
        <f>_xlfn.XLOOKUP($A7,[1]Returns!$A:$A,[1]Returns!C:C)</f>
        <v>2.6693333333334119E-3</v>
      </c>
      <c r="D7" s="2">
        <f>_xlfn.XLOOKUP($A7,[1]Returns!$A:$A,[1]Returns!D:D)</f>
        <v>-2.6717918046893501E-3</v>
      </c>
      <c r="E7" s="2">
        <f>_xlfn.XLOOKUP($A7,[1]Returns!$A:$A,[1]Returns!E:E)</f>
        <v>1.9258139340910811E-2</v>
      </c>
      <c r="F7" s="2">
        <f>_xlfn.XLOOKUP($A7,[1]Returns!$A:$A,[1]Returns!F:F)</f>
        <v>7.1263011325580106E-2</v>
      </c>
      <c r="G7" s="2">
        <f>_xlfn.XLOOKUP($A7,[1]Returns!$A:$A,[1]Returns!G:G)</f>
        <v>4.8282948378003843E-2</v>
      </c>
      <c r="H7" s="2">
        <f>_xlfn.XLOOKUP($A7,[1]Returns!$A:$A,[1]Returns!H:H)</f>
        <v>-1.104035111474055E-3</v>
      </c>
      <c r="I7" s="2">
        <f>_xlfn.XLOOKUP($A7,[1]Returns!$A:$A,[1]Returns!I:I)</f>
        <v>2.082094148007374E-2</v>
      </c>
      <c r="J7" s="2">
        <f>_xlfn.XLOOKUP($A7,[1]Returns!$A:$A,[1]Returns!J:J)</f>
        <v>5.196453931432532E-2</v>
      </c>
      <c r="K7" s="2">
        <f>_xlfn.XLOOKUP($A7,[1]Returns!$A:$A,[1]Returns!K:K)</f>
        <v>5.9999999999993392E-4</v>
      </c>
      <c r="L7" s="2">
        <f>_xlfn.XLOOKUP($A7,[1]Returns!$A:$A,[1]Returns!L:L)</f>
        <v>-5.7050807799999834E-3</v>
      </c>
      <c r="M7" s="2">
        <f>_xlfn.XLOOKUP($A7,[1]Returns!$A:$A,[1]Returns!M:M)</f>
        <v>1.444652343338104E-2</v>
      </c>
      <c r="N7" s="2">
        <f>_xlfn.XLOOKUP($A7,[1]Returns!$A:$A,[1]Returns!N:N)</f>
        <v>6.1163138184022081E-2</v>
      </c>
      <c r="O7" s="2">
        <f>_xlfn.XLOOKUP($A7,[1]Returns!$A:$A,[1]Returns!O:O)</f>
        <v>4.1885590908792292E-2</v>
      </c>
      <c r="P7" s="2">
        <f>_xlfn.XLOOKUP($A7,[1]Returns!$A:$A,[1]Returns!P:P)</f>
        <v>-4.4831443170499918E-3</v>
      </c>
      <c r="Q7" s="2">
        <f>_xlfn.XLOOKUP($A7,[1]Returns!$A:$A,[1]Returns!Q:Q)</f>
        <v>1.8477013901331271E-2</v>
      </c>
      <c r="R7" s="2">
        <f>_xlfn.XLOOKUP($A7,[1]Returns!$A:$A,[1]Returns!R:R)</f>
        <v>5.0285682034808099E-2</v>
      </c>
      <c r="S7" s="2">
        <f>_xlfn.XLOOKUP($A7,[1]Returns!$A:$A,[1]Returns!S:S)</f>
        <v>4.9758392035209147E-2</v>
      </c>
      <c r="T7" s="2">
        <f>_xlfn.XLOOKUP($A7,[1]Returns!$A:$A,[1]Returns!T:T)</f>
        <v>7.4649345331067485E-2</v>
      </c>
      <c r="U7" s="2">
        <f>_xlfn.XLOOKUP($A7,[1]Returns!$A:$A,[1]Returns!U:U)</f>
        <v>-0.12497102831907179</v>
      </c>
      <c r="V7" s="2">
        <f>_xlfn.XLOOKUP($A7,[1]Returns!$A:$A,[1]Returns!V:V)</f>
        <v>-2.5217556612129769E-2</v>
      </c>
      <c r="W7" s="2">
        <f>_xlfn.XLOOKUP($A7,[1]Returns!$A:$A,[1]Returns!W:W)</f>
        <v>0.10285331526718069</v>
      </c>
      <c r="X7" s="2">
        <f>_xlfn.XLOOKUP($A7,[1]Returns!$A:$A,[1]Returns!X:X)</f>
        <v>6.5038215096127949E-2</v>
      </c>
      <c r="Y7" s="2">
        <f>_xlfn.XLOOKUP($A7,[1]Returns!$A:$A,[1]Returns!Y:Y)</f>
        <v>1.2437482995890649E-2</v>
      </c>
      <c r="Z7" s="2">
        <f>_xlfn.XLOOKUP($A7,[1]Returns!$A:$A,[1]Returns!Z:Z)</f>
        <v>4.2257028382391093E-2</v>
      </c>
      <c r="AA7" s="2">
        <f>_xlfn.XLOOKUP($A7,[1]Returns!$A:$A,[1]Returns!AA:AA)</f>
        <v>6.3062276236460102E-2</v>
      </c>
      <c r="AB7" s="2">
        <f>_xlfn.XLOOKUP($A7,[1]Returns!$A:$A,[1]Returns!AB:AB)</f>
        <v>-0.11689077106871799</v>
      </c>
      <c r="AC7" s="2">
        <f>_xlfn.XLOOKUP($A7,[1]Returns!$A:$A,[1]Returns!AC:AC)</f>
        <v>-2.5394156876443419E-2</v>
      </c>
      <c r="AD7" s="2">
        <f>_xlfn.XLOOKUP($A7,[1]Returns!$A:$A,[1]Returns!AD:AD)</f>
        <v>8.6757289789715752E-2</v>
      </c>
      <c r="AE7" s="2">
        <f>_xlfn.XLOOKUP($A7,[1]Returns!$A:$A,[1]Returns!AE:AE)</f>
        <v>6.8712084440473165E-2</v>
      </c>
      <c r="AF7" s="2">
        <f>_xlfn.XLOOKUP($A7,[1]Returns!$A:$A,[1]Returns!AF:AF)</f>
        <v>1.4079379818825901E-2</v>
      </c>
      <c r="AG7">
        <v>90357940.280000001</v>
      </c>
    </row>
    <row r="8" spans="1:33" x14ac:dyDescent="0.25">
      <c r="A8" t="s">
        <v>36</v>
      </c>
      <c r="B8" t="s">
        <v>37</v>
      </c>
      <c r="C8" s="2">
        <f>_xlfn.XLOOKUP($A8,[1]Returns!$A:$A,[1]Returns!C:C)</f>
        <v>6.3962799999999209E-3</v>
      </c>
      <c r="D8" s="2">
        <f>_xlfn.XLOOKUP($A8,[1]Returns!$A:$A,[1]Returns!D:D)</f>
        <v>1.023162808506028E-2</v>
      </c>
      <c r="E8" s="2">
        <f>_xlfn.XLOOKUP($A8,[1]Returns!$A:$A,[1]Returns!E:E)</f>
        <v>1.6052096967489549E-2</v>
      </c>
      <c r="F8" s="2">
        <f>_xlfn.XLOOKUP($A8,[1]Returns!$A:$A,[1]Returns!F:F)</f>
        <v>0.1093458078711156</v>
      </c>
      <c r="G8" s="2">
        <f>_xlfn.XLOOKUP($A8,[1]Returns!$A:$A,[1]Returns!G:G)</f>
        <v>0.1718522843076</v>
      </c>
      <c r="H8" s="2">
        <f>_xlfn.XLOOKUP($A8,[1]Returns!$A:$A,[1]Returns!H:H)</f>
        <v>0.13537838838819891</v>
      </c>
      <c r="I8" s="2">
        <f>_xlfn.XLOOKUP($A8,[1]Returns!$A:$A,[1]Returns!I:I)</f>
        <v>0.1119906987604196</v>
      </c>
      <c r="J8" s="2">
        <f>_xlfn.XLOOKUP($A8,[1]Returns!$A:$A,[1]Returns!J:J)</f>
        <v>0.10353358653112781</v>
      </c>
      <c r="K8" s="2">
        <f>_xlfn.XLOOKUP($A8,[1]Returns!$A:$A,[1]Returns!K:K)</f>
        <v>3.5199999999999898E-2</v>
      </c>
      <c r="L8" s="2">
        <f>_xlfn.XLOOKUP($A8,[1]Returns!$A:$A,[1]Returns!L:L)</f>
        <v>5.6813619887999822E-2</v>
      </c>
      <c r="M8" s="2">
        <f>_xlfn.XLOOKUP($A8,[1]Returns!$A:$A,[1]Returns!M:M)</f>
        <v>3.8563366779366337E-2</v>
      </c>
      <c r="N8" s="2">
        <f>_xlfn.XLOOKUP($A8,[1]Returns!$A:$A,[1]Returns!N:N)</f>
        <v>0.1592335772126752</v>
      </c>
      <c r="O8" s="2">
        <f>_xlfn.XLOOKUP($A8,[1]Returns!$A:$A,[1]Returns!O:O)</f>
        <v>0.20815735429916329</v>
      </c>
      <c r="P8" s="2">
        <f>_xlfn.XLOOKUP($A8,[1]Returns!$A:$A,[1]Returns!P:P)</f>
        <v>0.14860453496100429</v>
      </c>
      <c r="Q8" s="2">
        <f>_xlfn.XLOOKUP($A8,[1]Returns!$A:$A,[1]Returns!Q:Q)</f>
        <v>0.1202924196785458</v>
      </c>
      <c r="R8" s="2">
        <f>_xlfn.XLOOKUP($A8,[1]Returns!$A:$A,[1]Returns!R:R)</f>
        <v>9.2978903224587128E-2</v>
      </c>
      <c r="S8" s="2">
        <f>_xlfn.XLOOKUP($A8,[1]Returns!$A:$A,[1]Returns!S:S)</f>
        <v>0.25956354944849203</v>
      </c>
      <c r="T8" s="2">
        <f>_xlfn.XLOOKUP($A8,[1]Returns!$A:$A,[1]Returns!T:T)</f>
        <v>0.1753993264425078</v>
      </c>
      <c r="U8" s="2">
        <f>_xlfn.XLOOKUP($A8,[1]Returns!$A:$A,[1]Returns!U:U)</f>
        <v>-8.6883515521638199E-2</v>
      </c>
      <c r="V8" s="2">
        <f>_xlfn.XLOOKUP($A8,[1]Returns!$A:$A,[1]Returns!V:V)</f>
        <v>0.26766545352246007</v>
      </c>
      <c r="W8" s="2">
        <f>_xlfn.XLOOKUP($A8,[1]Returns!$A:$A,[1]Returns!W:W)</f>
        <v>8.4249303506370277E-2</v>
      </c>
      <c r="X8" s="2">
        <f>_xlfn.XLOOKUP($A8,[1]Returns!$A:$A,[1]Returns!X:X)</f>
        <v>0.19638981733600039</v>
      </c>
      <c r="Y8" s="2">
        <f>_xlfn.XLOOKUP($A8,[1]Returns!$A:$A,[1]Returns!Y:Y)</f>
        <v>-4.9599140354200646E-3</v>
      </c>
      <c r="Z8" s="2">
        <f>_xlfn.XLOOKUP($A8,[1]Returns!$A:$A,[1]Returns!Z:Z)</f>
        <v>0.29426365037508218</v>
      </c>
      <c r="AA8" s="2">
        <f>_xlfn.XLOOKUP($A8,[1]Returns!$A:$A,[1]Returns!AA:AA)</f>
        <v>0.21016918258785361</v>
      </c>
      <c r="AB8" s="2">
        <f>_xlfn.XLOOKUP($A8,[1]Returns!$A:$A,[1]Returns!AB:AB)</f>
        <v>-0.1174573603921328</v>
      </c>
      <c r="AC8" s="2">
        <f>_xlfn.XLOOKUP($A8,[1]Returns!$A:$A,[1]Returns!AC:AC)</f>
        <v>0.21310109733026381</v>
      </c>
      <c r="AD8" s="2">
        <f>_xlfn.XLOOKUP($A8,[1]Returns!$A:$A,[1]Returns!AD:AD)</f>
        <v>0.13322710348184111</v>
      </c>
      <c r="AE8" s="2">
        <f>_xlfn.XLOOKUP($A8,[1]Returns!$A:$A,[1]Returns!AE:AE)</f>
        <v>0.21910476774026419</v>
      </c>
      <c r="AF8" s="2">
        <f>_xlfn.XLOOKUP($A8,[1]Returns!$A:$A,[1]Returns!AF:AF)</f>
        <v>6.3113667818059938E-4</v>
      </c>
      <c r="AG8">
        <v>122930009.13</v>
      </c>
    </row>
    <row r="9" spans="1:33" x14ac:dyDescent="0.25">
      <c r="A9" t="s">
        <v>38</v>
      </c>
      <c r="B9" t="s">
        <v>37</v>
      </c>
      <c r="C9" s="2">
        <f>_xlfn.XLOOKUP($A9,[1]Returns!$A:$A,[1]Returns!C:C)</f>
        <v>4.2903829787233061E-3</v>
      </c>
      <c r="D9" s="2">
        <f>_xlfn.XLOOKUP($A9,[1]Returns!$A:$A,[1]Returns!D:D)</f>
        <v>4.4484720197404126E-3</v>
      </c>
      <c r="E9" s="2">
        <f>_xlfn.XLOOKUP($A9,[1]Returns!$A:$A,[1]Returns!E:E)</f>
        <v>3.8221246369203321E-3</v>
      </c>
      <c r="F9" s="2">
        <f>_xlfn.XLOOKUP($A9,[1]Returns!$A:$A,[1]Returns!F:F)</f>
        <v>9.6659636385026726E-2</v>
      </c>
      <c r="G9" s="2">
        <f>_xlfn.XLOOKUP($A9,[1]Returns!$A:$A,[1]Returns!G:G)</f>
        <v>0.17480332194648709</v>
      </c>
      <c r="H9" s="2">
        <f>_xlfn.XLOOKUP($A9,[1]Returns!$A:$A,[1]Returns!H:H)</f>
        <v>0.13933365025535971</v>
      </c>
      <c r="I9" s="2">
        <f>_xlfn.XLOOKUP($A9,[1]Returns!$A:$A,[1]Returns!I:I)</f>
        <v>0.1133374003936702</v>
      </c>
      <c r="J9" s="2">
        <f>_xlfn.XLOOKUP($A9,[1]Returns!$A:$A,[1]Returns!J:J)</f>
        <v>8.7169172720092503E-2</v>
      </c>
      <c r="K9" s="2">
        <f>_xlfn.XLOOKUP($A9,[1]Returns!$A:$A,[1]Returns!K:K)</f>
        <v>3.5199999999999898E-2</v>
      </c>
      <c r="L9" s="2">
        <f>_xlfn.XLOOKUP($A9,[1]Returns!$A:$A,[1]Returns!L:L)</f>
        <v>5.6813619887999822E-2</v>
      </c>
      <c r="M9" s="2">
        <f>_xlfn.XLOOKUP($A9,[1]Returns!$A:$A,[1]Returns!M:M)</f>
        <v>3.8563366779366337E-2</v>
      </c>
      <c r="N9" s="2">
        <f>_xlfn.XLOOKUP($A9,[1]Returns!$A:$A,[1]Returns!N:N)</f>
        <v>0.1592335772126752</v>
      </c>
      <c r="O9" s="2">
        <f>_xlfn.XLOOKUP($A9,[1]Returns!$A:$A,[1]Returns!O:O)</f>
        <v>0.20815735429916329</v>
      </c>
      <c r="P9" s="2">
        <f>_xlfn.XLOOKUP($A9,[1]Returns!$A:$A,[1]Returns!P:P)</f>
        <v>0.14860453496100429</v>
      </c>
      <c r="Q9" s="2">
        <f>_xlfn.XLOOKUP($A9,[1]Returns!$A:$A,[1]Returns!Q:Q)</f>
        <v>0.1202924196785458</v>
      </c>
      <c r="R9" s="2">
        <f>_xlfn.XLOOKUP($A9,[1]Returns!$A:$A,[1]Returns!R:R)</f>
        <v>9.9714367100615098E-2</v>
      </c>
      <c r="S9" s="2">
        <f>_xlfn.XLOOKUP($A9,[1]Returns!$A:$A,[1]Returns!S:S)</f>
        <v>0.26275886187340619</v>
      </c>
      <c r="T9" s="2">
        <f>_xlfn.XLOOKUP($A9,[1]Returns!$A:$A,[1]Returns!T:T)</f>
        <v>0.19210350219382619</v>
      </c>
      <c r="U9" s="2">
        <f>_xlfn.XLOOKUP($A9,[1]Returns!$A:$A,[1]Returns!U:U)</f>
        <v>-0.1086485740791715</v>
      </c>
      <c r="V9" s="2">
        <f>_xlfn.XLOOKUP($A9,[1]Returns!$A:$A,[1]Returns!V:V)</f>
        <v>0.31928245119478338</v>
      </c>
      <c r="W9" s="2">
        <f>_xlfn.XLOOKUP($A9,[1]Returns!$A:$A,[1]Returns!W:W)</f>
        <v>7.9992473769204819E-2</v>
      </c>
      <c r="X9" s="2">
        <f>_xlfn.XLOOKUP($A9,[1]Returns!$A:$A,[1]Returns!X:X)</f>
        <v>0.2154545270790329</v>
      </c>
      <c r="Y9" s="2">
        <f>_xlfn.XLOOKUP($A9,[1]Returns!$A:$A,[1]Returns!Y:Y)</f>
        <v>8.5866506209266724E-3</v>
      </c>
      <c r="Z9" s="2">
        <f>_xlfn.XLOOKUP($A9,[1]Returns!$A:$A,[1]Returns!Z:Z)</f>
        <v>0.29426365037508218</v>
      </c>
      <c r="AA9" s="2">
        <f>_xlfn.XLOOKUP($A9,[1]Returns!$A:$A,[1]Returns!AA:AA)</f>
        <v>0.21016918258785361</v>
      </c>
      <c r="AB9" s="2">
        <f>_xlfn.XLOOKUP($A9,[1]Returns!$A:$A,[1]Returns!AB:AB)</f>
        <v>-0.1174573603921328</v>
      </c>
      <c r="AC9" s="2">
        <f>_xlfn.XLOOKUP($A9,[1]Returns!$A:$A,[1]Returns!AC:AC)</f>
        <v>0.21310109733026381</v>
      </c>
      <c r="AD9" s="2">
        <f>_xlfn.XLOOKUP($A9,[1]Returns!$A:$A,[1]Returns!AD:AD)</f>
        <v>0.13322710348184111</v>
      </c>
      <c r="AE9" s="2">
        <f>_xlfn.XLOOKUP($A9,[1]Returns!$A:$A,[1]Returns!AE:AE)</f>
        <v>0.21910476774026419</v>
      </c>
      <c r="AF9" s="2">
        <f>_xlfn.XLOOKUP($A9,[1]Returns!$A:$A,[1]Returns!AF:AF)</f>
        <v>6.3113667818059938E-4</v>
      </c>
      <c r="AG9">
        <v>39123712.670000002</v>
      </c>
    </row>
    <row r="10" spans="1:33" x14ac:dyDescent="0.25">
      <c r="A10" t="s">
        <v>39</v>
      </c>
      <c r="B10" t="s">
        <v>40</v>
      </c>
      <c r="C10" s="2">
        <f>_xlfn.XLOOKUP($A10,[1]Returns!$A:$A,[1]Returns!C:C)</f>
        <v>2.13211499999999E-2</v>
      </c>
      <c r="D10" s="2">
        <f>_xlfn.XLOOKUP($A10,[1]Returns!$A:$A,[1]Returns!D:D)</f>
        <v>6.5383764984105364E-2</v>
      </c>
      <c r="E10" s="2">
        <f>_xlfn.XLOOKUP($A10,[1]Returns!$A:$A,[1]Returns!E:E)</f>
        <v>0.1197949279763115</v>
      </c>
      <c r="F10" s="2">
        <f>_xlfn.XLOOKUP($A10,[1]Returns!$A:$A,[1]Returns!F:F)</f>
        <v>0.2211258763695492</v>
      </c>
      <c r="G10" s="2">
        <f>_xlfn.XLOOKUP($A10,[1]Returns!$A:$A,[1]Returns!G:G)</f>
        <v>0.13681128954345281</v>
      </c>
      <c r="H10" s="2">
        <f>_xlfn.XLOOKUP($A10,[1]Returns!$A:$A,[1]Returns!H:H)</f>
        <v>0.17287649796508411</v>
      </c>
      <c r="I10" s="2">
        <f>_xlfn.XLOOKUP($A10,[1]Returns!$A:$A,[1]Returns!I:I)</f>
        <v>8.7929416045070541E-2</v>
      </c>
      <c r="J10" s="2">
        <f>_xlfn.XLOOKUP($A10,[1]Returns!$A:$A,[1]Returns!J:J)</f>
        <v>0.11476720756868961</v>
      </c>
      <c r="K10" s="2">
        <f>_xlfn.XLOOKUP($A10,[1]Returns!$A:$A,[1]Returns!K:K)</f>
        <v>1.940000000000008E-2</v>
      </c>
      <c r="L10" s="2">
        <f>_xlfn.XLOOKUP($A10,[1]Returns!$A:$A,[1]Returns!L:L)</f>
        <v>5.2729588820000117E-2</v>
      </c>
      <c r="M10" s="2">
        <f>_xlfn.XLOOKUP($A10,[1]Returns!$A:$A,[1]Returns!M:M)</f>
        <v>8.3939047331181404E-2</v>
      </c>
      <c r="N10" s="2">
        <f>_xlfn.XLOOKUP($A10,[1]Returns!$A:$A,[1]Returns!N:N)</f>
        <v>0.2194874157261972</v>
      </c>
      <c r="O10" s="2">
        <f>_xlfn.XLOOKUP($A10,[1]Returns!$A:$A,[1]Returns!O:O)</f>
        <v>0.1041080827295837</v>
      </c>
      <c r="P10" s="2">
        <f>_xlfn.XLOOKUP($A10,[1]Returns!$A:$A,[1]Returns!P:P)</f>
        <v>0.1691270607573041</v>
      </c>
      <c r="Q10" s="2">
        <f>_xlfn.XLOOKUP($A10,[1]Returns!$A:$A,[1]Returns!Q:Q)</f>
        <v>8.890528087351246E-2</v>
      </c>
      <c r="R10" s="2">
        <f>_xlfn.XLOOKUP($A10,[1]Returns!$A:$A,[1]Returns!R:R)</f>
        <v>0.1075223001682948</v>
      </c>
      <c r="S10" s="2">
        <f>_xlfn.XLOOKUP($A10,[1]Returns!$A:$A,[1]Returns!S:S)</f>
        <v>0.13308185228320671</v>
      </c>
      <c r="T10" s="2">
        <f>_xlfn.XLOOKUP($A10,[1]Returns!$A:$A,[1]Returns!T:T)</f>
        <v>8.8744440171499184E-2</v>
      </c>
      <c r="U10" s="2">
        <f>_xlfn.XLOOKUP($A10,[1]Returns!$A:$A,[1]Returns!U:U)</f>
        <v>6.0759705977495797E-2</v>
      </c>
      <c r="V10" s="2">
        <f>_xlfn.XLOOKUP($A10,[1]Returns!$A:$A,[1]Returns!V:V)</f>
        <v>0.30956324056409512</v>
      </c>
      <c r="W10" s="2">
        <f>_xlfn.XLOOKUP($A10,[1]Returns!$A:$A,[1]Returns!W:W)</f>
        <v>-6.2025403848959597E-2</v>
      </c>
      <c r="X10" s="2">
        <f>_xlfn.XLOOKUP($A10,[1]Returns!$A:$A,[1]Returns!X:X)</f>
        <v>0.2082705208707534</v>
      </c>
      <c r="Y10" s="2">
        <f>_xlfn.XLOOKUP($A10,[1]Returns!$A:$A,[1]Returns!Y:Y)</f>
        <v>-0.1009024960682712</v>
      </c>
      <c r="Z10" s="2">
        <f>_xlfn.XLOOKUP($A10,[1]Returns!$A:$A,[1]Returns!Z:Z)</f>
        <v>0.1570007856603988</v>
      </c>
      <c r="AA10" s="2">
        <f>_xlfn.XLOOKUP($A10,[1]Returns!$A:$A,[1]Returns!AA:AA)</f>
        <v>8.050188529371205E-2</v>
      </c>
      <c r="AB10" s="2">
        <f>_xlfn.XLOOKUP($A10,[1]Returns!$A:$A,[1]Returns!AB:AB)</f>
        <v>6.431543794565231E-3</v>
      </c>
      <c r="AC10" s="2">
        <f>_xlfn.XLOOKUP($A10,[1]Returns!$A:$A,[1]Returns!AC:AC)</f>
        <v>0.36103956698877088</v>
      </c>
      <c r="AD10" s="2">
        <f>_xlfn.XLOOKUP($A10,[1]Returns!$A:$A,[1]Returns!AD:AD)</f>
        <v>-7.3860041217950645E-2</v>
      </c>
      <c r="AE10" s="2">
        <f>_xlfn.XLOOKUP($A10,[1]Returns!$A:$A,[1]Returns!AE:AE)</f>
        <v>0.25812480061619558</v>
      </c>
      <c r="AF10" s="2">
        <f>_xlfn.XLOOKUP($A10,[1]Returns!$A:$A,[1]Returns!AF:AF)</f>
        <v>-0.107731401591228</v>
      </c>
      <c r="AG10">
        <v>12959685.77</v>
      </c>
    </row>
    <row r="11" spans="1:33" x14ac:dyDescent="0.25">
      <c r="A11" t="s">
        <v>41</v>
      </c>
      <c r="B11" t="s">
        <v>42</v>
      </c>
      <c r="C11" s="2">
        <f>_xlfn.XLOOKUP($A11,[1]Returns!$A:$A,[1]Returns!C:C)</f>
        <v>2.182877533039651E-2</v>
      </c>
      <c r="D11" s="2">
        <f>_xlfn.XLOOKUP($A11,[1]Returns!$A:$A,[1]Returns!D:D)</f>
        <v>3.4795345796978523E-2</v>
      </c>
      <c r="E11" s="2">
        <f>_xlfn.XLOOKUP($A11,[1]Returns!$A:$A,[1]Returns!E:E)</f>
        <v>2.7554397852769918E-2</v>
      </c>
      <c r="F11" s="2">
        <f>_xlfn.XLOOKUP($A11,[1]Returns!$A:$A,[1]Returns!F:F)</f>
        <v>0.14679677115389159</v>
      </c>
      <c r="G11" s="2">
        <f>_xlfn.XLOOKUP($A11,[1]Returns!$A:$A,[1]Returns!G:G)</f>
        <v>0.1398117945542541</v>
      </c>
      <c r="H11" s="2">
        <f>_xlfn.XLOOKUP($A11,[1]Returns!$A:$A,[1]Returns!H:H)</f>
        <v>9.5741230591227744E-2</v>
      </c>
      <c r="I11" s="2">
        <f>_xlfn.XLOOKUP($A11,[1]Returns!$A:$A,[1]Returns!I:I)</f>
        <v>7.7735008897726221E-2</v>
      </c>
      <c r="J11" s="2">
        <f>_xlfn.XLOOKUP($A11,[1]Returns!$A:$A,[1]Returns!J:J)</f>
        <v>7.7765559245989158E-2</v>
      </c>
      <c r="K11" s="2">
        <f>_xlfn.XLOOKUP($A11,[1]Returns!$A:$A,[1]Returns!K:K)</f>
        <v>1.8299999999999979E-2</v>
      </c>
      <c r="L11" s="2">
        <f>_xlfn.XLOOKUP($A11,[1]Returns!$A:$A,[1]Returns!L:L)</f>
        <v>3.1402262440000113E-2</v>
      </c>
      <c r="M11" s="2">
        <f>_xlfn.XLOOKUP($A11,[1]Returns!$A:$A,[1]Returns!M:M)</f>
        <v>3.4850607000923788E-2</v>
      </c>
      <c r="N11" s="2">
        <f>_xlfn.XLOOKUP($A11,[1]Returns!$A:$A,[1]Returns!N:N)</f>
        <v>0.13249649279837489</v>
      </c>
      <c r="O11" s="2">
        <f>_xlfn.XLOOKUP($A11,[1]Returns!$A:$A,[1]Returns!O:O)</f>
        <v>0.1150348685397113</v>
      </c>
      <c r="P11" s="2">
        <f>_xlfn.XLOOKUP($A11,[1]Returns!$A:$A,[1]Returns!P:P)</f>
        <v>7.6006958773237931E-2</v>
      </c>
      <c r="Q11" s="2">
        <f>_xlfn.XLOOKUP($A11,[1]Returns!$A:$A,[1]Returns!Q:Q)</f>
        <v>7.081423528739661E-2</v>
      </c>
      <c r="R11" s="2">
        <f>_xlfn.XLOOKUP($A11,[1]Returns!$A:$A,[1]Returns!R:R)</f>
        <v>7.0876887207562245E-2</v>
      </c>
      <c r="S11" s="2">
        <f>_xlfn.XLOOKUP($A11,[1]Returns!$A:$A,[1]Returns!S:S)</f>
        <v>0.18322548414762951</v>
      </c>
      <c r="T11" s="2">
        <f>_xlfn.XLOOKUP($A11,[1]Returns!$A:$A,[1]Returns!T:T)</f>
        <v>0.17330481297705999</v>
      </c>
      <c r="U11" s="2">
        <f>_xlfn.XLOOKUP($A11,[1]Returns!$A:$A,[1]Returns!U:U)</f>
        <v>-0.12996610793626931</v>
      </c>
      <c r="V11" s="2">
        <f>_xlfn.XLOOKUP($A11,[1]Returns!$A:$A,[1]Returns!V:V)</f>
        <v>0.16260778923755589</v>
      </c>
      <c r="W11" s="2">
        <f>_xlfn.XLOOKUP($A11,[1]Returns!$A:$A,[1]Returns!W:W)</f>
        <v>7.4865762310155848E-2</v>
      </c>
      <c r="X11" s="2">
        <f>_xlfn.XLOOKUP($A11,[1]Returns!$A:$A,[1]Returns!X:X)</f>
        <v>0.12625265700684721</v>
      </c>
      <c r="Y11" s="2">
        <f>_xlfn.XLOOKUP($A11,[1]Returns!$A:$A,[1]Returns!Y:Y)</f>
        <v>1.7279870544707251E-2</v>
      </c>
      <c r="Z11" s="2">
        <f>_xlfn.XLOOKUP($A11,[1]Returns!$A:$A,[1]Returns!Z:Z)</f>
        <v>0.16047266730424201</v>
      </c>
      <c r="AA11" s="2">
        <f>_xlfn.XLOOKUP($A11,[1]Returns!$A:$A,[1]Returns!AA:AA)</f>
        <v>0.1147928272931185</v>
      </c>
      <c r="AB11" s="2">
        <f>_xlfn.XLOOKUP($A11,[1]Returns!$A:$A,[1]Returns!AB:AB)</f>
        <v>-9.9044415340767022E-2</v>
      </c>
      <c r="AC11" s="2">
        <f>_xlfn.XLOOKUP($A11,[1]Returns!$A:$A,[1]Returns!AC:AC)</f>
        <v>0.112867795062521</v>
      </c>
      <c r="AD11" s="2">
        <f>_xlfn.XLOOKUP($A11,[1]Returns!$A:$A,[1]Returns!AD:AD)</f>
        <v>0.1046288022437831</v>
      </c>
      <c r="AE11" s="2">
        <f>_xlfn.XLOOKUP($A11,[1]Returns!$A:$A,[1]Returns!AE:AE)</f>
        <v>0.15197488384327329</v>
      </c>
      <c r="AF11" s="2">
        <f>_xlfn.XLOOKUP($A11,[1]Returns!$A:$A,[1]Returns!AF:AF)</f>
        <v>-6.1622847520066406E-3</v>
      </c>
      <c r="AG11">
        <v>103905181.66</v>
      </c>
    </row>
    <row r="12" spans="1:33" x14ac:dyDescent="0.25">
      <c r="A12" t="s">
        <v>43</v>
      </c>
      <c r="B12" t="s">
        <v>44</v>
      </c>
      <c r="C12" s="2">
        <f>_xlfn.XLOOKUP($A12,[1]Returns!$A:$A,[1]Returns!C:C)</f>
        <v>3.5559540983606468E-2</v>
      </c>
      <c r="D12" s="2">
        <f>_xlfn.XLOOKUP($A12,[1]Returns!$A:$A,[1]Returns!D:D)</f>
        <v>5.945221101696041E-2</v>
      </c>
      <c r="E12" s="2">
        <f>_xlfn.XLOOKUP($A12,[1]Returns!$A:$A,[1]Returns!E:E)</f>
        <v>3.5326857691942548E-2</v>
      </c>
      <c r="F12" s="2">
        <f>_xlfn.XLOOKUP($A12,[1]Returns!$A:$A,[1]Returns!F:F)</f>
        <v>0.19900814149791499</v>
      </c>
      <c r="G12" s="2">
        <f>_xlfn.XLOOKUP($A12,[1]Returns!$A:$A,[1]Returns!G:G)</f>
        <v>0.20551776887071729</v>
      </c>
      <c r="H12" s="2">
        <f>_xlfn.XLOOKUP($A12,[1]Returns!$A:$A,[1]Returns!H:H)</f>
        <v>0.15614433286782961</v>
      </c>
      <c r="I12" s="2">
        <f>_xlfn.XLOOKUP($A12,[1]Returns!$A:$A,[1]Returns!I:I)</f>
        <v>0.11286254509671979</v>
      </c>
      <c r="J12" s="2">
        <f>_xlfn.XLOOKUP($A12,[1]Returns!$A:$A,[1]Returns!J:J)</f>
        <v>0.10198089821845201</v>
      </c>
      <c r="K12" s="2">
        <f>_xlfn.XLOOKUP($A12,[1]Returns!$A:$A,[1]Returns!K:K)</f>
        <v>3.6000000000000032E-2</v>
      </c>
      <c r="L12" s="2">
        <f>_xlfn.XLOOKUP($A12,[1]Returns!$A:$A,[1]Returns!L:L)</f>
        <v>6.8678009279999896E-2</v>
      </c>
      <c r="M12" s="2">
        <f>_xlfn.XLOOKUP($A12,[1]Returns!$A:$A,[1]Returns!M:M)</f>
        <v>5.4109428127716352E-2</v>
      </c>
      <c r="N12" s="2">
        <f>_xlfn.XLOOKUP($A12,[1]Returns!$A:$A,[1]Returns!N:N)</f>
        <v>0.2057953085268982</v>
      </c>
      <c r="O12" s="2">
        <f>_xlfn.XLOOKUP($A12,[1]Returns!$A:$A,[1]Returns!O:O)</f>
        <v>0.19208683191829001</v>
      </c>
      <c r="P12" s="2">
        <f>_xlfn.XLOOKUP($A12,[1]Returns!$A:$A,[1]Returns!P:P)</f>
        <v>0.16022209502835061</v>
      </c>
      <c r="Q12" s="2">
        <f>_xlfn.XLOOKUP($A12,[1]Returns!$A:$A,[1]Returns!Q:Q)</f>
        <v>0.12262956661357501</v>
      </c>
      <c r="R12" s="2">
        <f>_xlfn.XLOOKUP($A12,[1]Returns!$A:$A,[1]Returns!R:R)</f>
        <v>9.0581316052544825E-2</v>
      </c>
      <c r="S12" s="2">
        <f>_xlfn.XLOOKUP($A12,[1]Returns!$A:$A,[1]Returns!S:S)</f>
        <v>0.28821327176199668</v>
      </c>
      <c r="T12" s="2">
        <f>_xlfn.XLOOKUP($A12,[1]Returns!$A:$A,[1]Returns!T:T)</f>
        <v>0.24089152985559159</v>
      </c>
      <c r="U12" s="2">
        <f>_xlfn.XLOOKUP($A12,[1]Returns!$A:$A,[1]Returns!U:U)</f>
        <v>-0.13059519460896579</v>
      </c>
      <c r="V12" s="2">
        <f>_xlfn.XLOOKUP($A12,[1]Returns!$A:$A,[1]Returns!V:V)</f>
        <v>0.25237616768120769</v>
      </c>
      <c r="W12" s="2">
        <f>_xlfn.XLOOKUP($A12,[1]Returns!$A:$A,[1]Returns!W:W)</f>
        <v>8.1569070295306689E-2</v>
      </c>
      <c r="X12" s="2">
        <f>_xlfn.XLOOKUP($A12,[1]Returns!$A:$A,[1]Returns!X:X)</f>
        <v>0.1715094882487038</v>
      </c>
      <c r="Y12" s="2">
        <f>_xlfn.XLOOKUP($A12,[1]Returns!$A:$A,[1]Returns!Y:Y)</f>
        <v>9.1529806240275846E-3</v>
      </c>
      <c r="Z12" s="2">
        <f>_xlfn.XLOOKUP($A12,[1]Returns!$A:$A,[1]Returns!Z:Z)</f>
        <v>0.28958074617418311</v>
      </c>
      <c r="AA12" s="2">
        <f>_xlfn.XLOOKUP($A12,[1]Returns!$A:$A,[1]Returns!AA:AA)</f>
        <v>0.1713694717429799</v>
      </c>
      <c r="AB12" s="2">
        <f>_xlfn.XLOOKUP($A12,[1]Returns!$A:$A,[1]Returns!AB:AB)</f>
        <v>-8.3909329309362457E-2</v>
      </c>
      <c r="AC12" s="2">
        <f>_xlfn.XLOOKUP($A12,[1]Returns!$A:$A,[1]Returns!AC:AC)</f>
        <v>0.26398989980912058</v>
      </c>
      <c r="AD12" s="2">
        <f>_xlfn.XLOOKUP($A12,[1]Returns!$A:$A,[1]Returns!AD:AD)</f>
        <v>0.1075575934363073</v>
      </c>
      <c r="AE12" s="2">
        <f>_xlfn.XLOOKUP($A12,[1]Returns!$A:$A,[1]Returns!AE:AE)</f>
        <v>0.23879323438722061</v>
      </c>
      <c r="AF12" s="2">
        <f>_xlfn.XLOOKUP($A12,[1]Returns!$A:$A,[1]Returns!AF:AF)</f>
        <v>-2.4421037083545372E-2</v>
      </c>
      <c r="AG12">
        <v>36094359.75</v>
      </c>
    </row>
    <row r="13" spans="1:33" x14ac:dyDescent="0.25">
      <c r="A13" t="s">
        <v>45</v>
      </c>
      <c r="B13" t="s">
        <v>46</v>
      </c>
      <c r="C13" s="2">
        <f>_xlfn.XLOOKUP($A13,[1]Returns!$A:$A,[1]Returns!C:C)</f>
        <v>3.4000089552238773E-2</v>
      </c>
      <c r="D13" s="2">
        <f>_xlfn.XLOOKUP($A13,[1]Returns!$A:$A,[1]Returns!D:D)</f>
        <v>3.0130869593325119E-2</v>
      </c>
      <c r="E13" s="2">
        <f>_xlfn.XLOOKUP($A13,[1]Returns!$A:$A,[1]Returns!E:E)</f>
        <v>-3.1997211689957387E-2</v>
      </c>
      <c r="F13" s="2">
        <f>_xlfn.XLOOKUP($A13,[1]Returns!$A:$A,[1]Returns!F:F)</f>
        <v>9.3148302551933737E-2</v>
      </c>
      <c r="G13" s="2">
        <f>_xlfn.XLOOKUP($A13,[1]Returns!$A:$A,[1]Returns!G:G)</f>
        <v>0.16237498083958779</v>
      </c>
      <c r="H13" s="2">
        <f>_xlfn.XLOOKUP($A13,[1]Returns!$A:$A,[1]Returns!H:H)</f>
        <v>0.1382304120776803</v>
      </c>
      <c r="I13" s="2">
        <f>_xlfn.XLOOKUP($A13,[1]Returns!$A:$A,[1]Returns!I:I)</f>
        <v>0.1382054122022458</v>
      </c>
      <c r="J13" s="2">
        <f>_xlfn.XLOOKUP($A13,[1]Returns!$A:$A,[1]Returns!J:J)</f>
        <v>9.6919039053080525E-2</v>
      </c>
      <c r="K13" s="2">
        <f>_xlfn.XLOOKUP($A13,[1]Returns!$A:$A,[1]Returns!K:K)</f>
        <v>4.2899999999999938E-2</v>
      </c>
      <c r="L13" s="2">
        <f>_xlfn.XLOOKUP($A13,[1]Returns!$A:$A,[1]Returns!L:L)</f>
        <v>5.1849041467999957E-2</v>
      </c>
      <c r="M13" s="2">
        <f>_xlfn.XLOOKUP($A13,[1]Returns!$A:$A,[1]Returns!M:M)</f>
        <v>7.6092138717065438E-3</v>
      </c>
      <c r="N13" s="2">
        <f>_xlfn.XLOOKUP($A13,[1]Returns!$A:$A,[1]Returns!N:N)</f>
        <v>0.148530491719469</v>
      </c>
      <c r="O13" s="2">
        <f>_xlfn.XLOOKUP($A13,[1]Returns!$A:$A,[1]Returns!O:O)</f>
        <v>0.21948169477405341</v>
      </c>
      <c r="P13" s="2">
        <f>_xlfn.XLOOKUP($A13,[1]Returns!$A:$A,[1]Returns!P:P)</f>
        <v>0.16596086144168901</v>
      </c>
      <c r="Q13" s="2">
        <f>_xlfn.XLOOKUP($A13,[1]Returns!$A:$A,[1]Returns!Q:Q)</f>
        <v>0.14605505262386639</v>
      </c>
      <c r="R13" s="2">
        <f>_xlfn.XLOOKUP($A13,[1]Returns!$A:$A,[1]Returns!R:R)</f>
        <v>7.4236826705645242E-2</v>
      </c>
      <c r="S13" s="2">
        <f>_xlfn.XLOOKUP($A13,[1]Returns!$A:$A,[1]Returns!S:S)</f>
        <v>0.27366522335215349</v>
      </c>
      <c r="T13" s="2">
        <f>_xlfn.XLOOKUP($A13,[1]Returns!$A:$A,[1]Returns!T:T)</f>
        <v>0.25428923880210452</v>
      </c>
      <c r="U13" s="2">
        <f>_xlfn.XLOOKUP($A13,[1]Returns!$A:$A,[1]Returns!U:U)</f>
        <v>-0.15689063861803829</v>
      </c>
      <c r="V13" s="2">
        <f>_xlfn.XLOOKUP($A13,[1]Returns!$A:$A,[1]Returns!V:V)</f>
        <v>0.27161910953713958</v>
      </c>
      <c r="W13" s="2">
        <f>_xlfn.XLOOKUP($A13,[1]Returns!$A:$A,[1]Returns!W:W)</f>
        <v>0.2595160966611858</v>
      </c>
      <c r="X13" s="2">
        <f>_xlfn.XLOOKUP($A13,[1]Returns!$A:$A,[1]Returns!X:X)</f>
        <v>0.27375498705892748</v>
      </c>
      <c r="Y13" s="2">
        <f>_xlfn.XLOOKUP($A13,[1]Returns!$A:$A,[1]Returns!Y:Y)</f>
        <v>5.3456934933305167E-2</v>
      </c>
      <c r="Z13" s="2">
        <f>_xlfn.XLOOKUP($A13,[1]Returns!$A:$A,[1]Returns!Z:Z)</f>
        <v>0.36378001862312792</v>
      </c>
      <c r="AA13" s="2">
        <f>_xlfn.XLOOKUP($A13,[1]Returns!$A:$A,[1]Returns!AA:AA)</f>
        <v>0.22802772224653481</v>
      </c>
      <c r="AB13" s="2">
        <f>_xlfn.XLOOKUP($A13,[1]Returns!$A:$A,[1]Returns!AB:AB)</f>
        <v>-0.12152410109853</v>
      </c>
      <c r="AC13" s="2">
        <f>_xlfn.XLOOKUP($A13,[1]Returns!$A:$A,[1]Returns!AC:AC)</f>
        <v>0.2761454551589928</v>
      </c>
      <c r="AD13" s="2">
        <f>_xlfn.XLOOKUP($A13,[1]Returns!$A:$A,[1]Returns!AD:AD)</f>
        <v>0.15829193424188981</v>
      </c>
      <c r="AE13" s="2">
        <f>_xlfn.XLOOKUP($A13,[1]Returns!$A:$A,[1]Returns!AE:AE)</f>
        <v>0.24838940926861031</v>
      </c>
      <c r="AF13" s="2">
        <f>_xlfn.XLOOKUP($A13,[1]Returns!$A:$A,[1]Returns!AF:AF)</f>
        <v>4.2275010225730332E-2</v>
      </c>
      <c r="AG13">
        <v>58597796.509999998</v>
      </c>
    </row>
    <row r="14" spans="1:33" x14ac:dyDescent="0.25">
      <c r="A14" t="s">
        <v>47</v>
      </c>
      <c r="B14" t="s">
        <v>33</v>
      </c>
      <c r="C14" s="2">
        <f>_xlfn.XLOOKUP($A14,[1]Returns!$A:$A,[1]Returns!C:C)</f>
        <v>1.838815277777783E-2</v>
      </c>
      <c r="D14" s="2">
        <f>_xlfn.XLOOKUP($A14,[1]Returns!$A:$A,[1]Returns!D:D)</f>
        <v>7.5964791497263429E-2</v>
      </c>
      <c r="E14" s="2">
        <f>_xlfn.XLOOKUP($A14,[1]Returns!$A:$A,[1]Returns!E:E)</f>
        <v>8.7976574162439869E-2</v>
      </c>
      <c r="F14" s="2">
        <f>_xlfn.XLOOKUP($A14,[1]Returns!$A:$A,[1]Returns!F:F)</f>
        <v>0.22689071885351719</v>
      </c>
      <c r="G14" s="2">
        <f>_xlfn.XLOOKUP($A14,[1]Returns!$A:$A,[1]Returns!G:G)</f>
        <v>0.13347308251113371</v>
      </c>
      <c r="H14" s="2">
        <f>_xlfn.XLOOKUP($A14,[1]Returns!$A:$A,[1]Returns!H:H)</f>
        <v>0.16783535009318329</v>
      </c>
      <c r="I14" s="2">
        <f>_xlfn.XLOOKUP($A14,[1]Returns!$A:$A,[1]Returns!I:I)</f>
        <v>9.0071223810074708E-2</v>
      </c>
      <c r="J14" s="2">
        <f>_xlfn.XLOOKUP($A14,[1]Returns!$A:$A,[1]Returns!J:J)</f>
        <v>0.1190809673611843</v>
      </c>
      <c r="K14" s="2">
        <f>_xlfn.XLOOKUP($A14,[1]Returns!$A:$A,[1]Returns!K:K)</f>
        <v>2.90999999999999E-2</v>
      </c>
      <c r="L14" s="2">
        <f>_xlfn.XLOOKUP($A14,[1]Returns!$A:$A,[1]Returns!L:L)</f>
        <v>8.5231642040000111E-2</v>
      </c>
      <c r="M14" s="2">
        <f>_xlfn.XLOOKUP($A14,[1]Returns!$A:$A,[1]Returns!M:M)</f>
        <v>0.10161627611346891</v>
      </c>
      <c r="N14" s="2">
        <f>_xlfn.XLOOKUP($A14,[1]Returns!$A:$A,[1]Returns!N:N)</f>
        <v>0.26355768014352893</v>
      </c>
      <c r="O14" s="2">
        <f>_xlfn.XLOOKUP($A14,[1]Returns!$A:$A,[1]Returns!O:O)</f>
        <v>0.16174791700777269</v>
      </c>
      <c r="P14" s="2">
        <f>_xlfn.XLOOKUP($A14,[1]Returns!$A:$A,[1]Returns!P:P)</f>
        <v>0.1506785074338641</v>
      </c>
      <c r="Q14" s="2">
        <f>_xlfn.XLOOKUP($A14,[1]Returns!$A:$A,[1]Returns!Q:Q)</f>
        <v>9.6297839011893149E-2</v>
      </c>
      <c r="R14" s="2">
        <f>_xlfn.XLOOKUP($A14,[1]Returns!$A:$A,[1]Returns!R:R)</f>
        <v>8.2932581414456807E-2</v>
      </c>
      <c r="S14" s="2">
        <f>_xlfn.XLOOKUP($A14,[1]Returns!$A:$A,[1]Returns!S:S)</f>
        <v>0.19391940521041101</v>
      </c>
      <c r="T14" s="2">
        <f>_xlfn.XLOOKUP($A14,[1]Returns!$A:$A,[1]Returns!T:T)</f>
        <v>8.2265292556218395E-2</v>
      </c>
      <c r="U14" s="2">
        <f>_xlfn.XLOOKUP($A14,[1]Returns!$A:$A,[1]Returns!U:U)</f>
        <v>2.4852794580773718E-2</v>
      </c>
      <c r="V14" s="2">
        <f>_xlfn.XLOOKUP($A14,[1]Returns!$A:$A,[1]Returns!V:V)</f>
        <v>0.28277174917337572</v>
      </c>
      <c r="W14" s="2">
        <f>_xlfn.XLOOKUP($A14,[1]Returns!$A:$A,[1]Returns!W:W)</f>
        <v>-9.987112125977915E-3</v>
      </c>
      <c r="X14" s="2">
        <f>_xlfn.XLOOKUP($A14,[1]Returns!$A:$A,[1]Returns!X:X)</f>
        <v>0.20463900163792559</v>
      </c>
      <c r="Y14" s="2">
        <f>_xlfn.XLOOKUP($A14,[1]Returns!$A:$A,[1]Returns!Y:Y)</f>
        <v>-0.1130749971911198</v>
      </c>
      <c r="Z14" s="2">
        <f>_xlfn.XLOOKUP($A14,[1]Returns!$A:$A,[1]Returns!Z:Z)</f>
        <v>0.21639791486141899</v>
      </c>
      <c r="AA14" s="2">
        <f>_xlfn.XLOOKUP($A14,[1]Returns!$A:$A,[1]Returns!AA:AA)</f>
        <v>0.12021853546487481</v>
      </c>
      <c r="AB14" s="2">
        <f>_xlfn.XLOOKUP($A14,[1]Returns!$A:$A,[1]Returns!AB:AB)</f>
        <v>-5.861422986020437E-2</v>
      </c>
      <c r="AC14" s="2">
        <f>_xlfn.XLOOKUP($A14,[1]Returns!$A:$A,[1]Returns!AC:AC)</f>
        <v>0.25087973789207202</v>
      </c>
      <c r="AD14" s="2">
        <f>_xlfn.XLOOKUP($A14,[1]Returns!$A:$A,[1]Returns!AD:AD)</f>
        <v>5.5915166451887321E-2</v>
      </c>
      <c r="AE14" s="2">
        <f>_xlfn.XLOOKUP($A14,[1]Returns!$A:$A,[1]Returns!AE:AE)</f>
        <v>0.22876839007651761</v>
      </c>
      <c r="AF14" s="2">
        <f>_xlfn.XLOOKUP($A14,[1]Returns!$A:$A,[1]Returns!AF:AF)</f>
        <v>-8.8861093780151279E-2</v>
      </c>
      <c r="AG14">
        <v>101817758.04000001</v>
      </c>
    </row>
    <row r="15" spans="1:33" x14ac:dyDescent="0.25">
      <c r="A15" t="s">
        <v>48</v>
      </c>
      <c r="B15" t="s">
        <v>49</v>
      </c>
      <c r="C15" s="2">
        <f>_xlfn.XLOOKUP($A15,[1]Returns!$A:$A,[1]Returns!C:C)</f>
        <v>3.6725894736842069E-2</v>
      </c>
      <c r="D15" s="2">
        <f>_xlfn.XLOOKUP($A15,[1]Returns!$A:$A,[1]Returns!D:D)</f>
        <v>0.13398991856030371</v>
      </c>
      <c r="E15" s="2">
        <f>_xlfn.XLOOKUP($A15,[1]Returns!$A:$A,[1]Returns!E:E)</f>
        <v>0.1559897921924713</v>
      </c>
      <c r="F15" s="2">
        <f>_xlfn.XLOOKUP($A15,[1]Returns!$A:$A,[1]Returns!F:F)</f>
        <v>0.26112494265221459</v>
      </c>
      <c r="G15" s="2">
        <f>_xlfn.XLOOKUP($A15,[1]Returns!$A:$A,[1]Returns!G:G)</f>
        <v>0.1822130152594206</v>
      </c>
      <c r="H15" s="2">
        <f>_xlfn.XLOOKUP($A15,[1]Returns!$A:$A,[1]Returns!H:H)</f>
        <v>0.1828196570279628</v>
      </c>
      <c r="I15" s="2">
        <f>_xlfn.XLOOKUP($A15,[1]Returns!$A:$A,[1]Returns!I:I)</f>
        <v>0.1010853331076897</v>
      </c>
      <c r="J15" s="2">
        <f>_xlfn.XLOOKUP($A15,[1]Returns!$A:$A,[1]Returns!J:J)</f>
        <v>0.1159541613502926</v>
      </c>
      <c r="K15" s="2">
        <f>_xlfn.XLOOKUP($A15,[1]Returns!$A:$A,[1]Returns!K:K)</f>
        <v>6.1800000000000077E-2</v>
      </c>
      <c r="L15" s="2">
        <f>_xlfn.XLOOKUP($A15,[1]Returns!$A:$A,[1]Returns!L:L)</f>
        <v>0.1174196323200003</v>
      </c>
      <c r="M15" s="2">
        <f>_xlfn.XLOOKUP($A15,[1]Returns!$A:$A,[1]Returns!M:M)</f>
        <v>0.1272908645203146</v>
      </c>
      <c r="N15" s="2">
        <f>_xlfn.XLOOKUP($A15,[1]Returns!$A:$A,[1]Returns!N:N)</f>
        <v>0.23084376297386311</v>
      </c>
      <c r="O15" s="2">
        <f>_xlfn.XLOOKUP($A15,[1]Returns!$A:$A,[1]Returns!O:O)</f>
        <v>0.13767623281709371</v>
      </c>
      <c r="P15" s="2">
        <f>_xlfn.XLOOKUP($A15,[1]Returns!$A:$A,[1]Returns!P:P)</f>
        <v>0.15656754876302109</v>
      </c>
      <c r="Q15" s="2">
        <f>_xlfn.XLOOKUP($A15,[1]Returns!$A:$A,[1]Returns!Q:Q)</f>
        <v>8.0323443021825147E-2</v>
      </c>
      <c r="R15" s="2">
        <f>_xlfn.XLOOKUP($A15,[1]Returns!$A:$A,[1]Returns!R:R)</f>
        <v>6.602299353371599E-2</v>
      </c>
      <c r="S15" s="2">
        <f>_xlfn.XLOOKUP($A15,[1]Returns!$A:$A,[1]Returns!S:S)</f>
        <v>0.1454564677544905</v>
      </c>
      <c r="T15" s="2">
        <f>_xlfn.XLOOKUP($A15,[1]Returns!$A:$A,[1]Returns!T:T)</f>
        <v>0.13163604439679649</v>
      </c>
      <c r="U15" s="2">
        <f>_xlfn.XLOOKUP($A15,[1]Returns!$A:$A,[1]Returns!U:U)</f>
        <v>6.004942311459649E-3</v>
      </c>
      <c r="V15" s="2">
        <f>_xlfn.XLOOKUP($A15,[1]Returns!$A:$A,[1]Returns!V:V)</f>
        <v>0.25963045708737781</v>
      </c>
      <c r="W15" s="2">
        <f>_xlfn.XLOOKUP($A15,[1]Returns!$A:$A,[1]Returns!W:W)</f>
        <v>4.2266551135459629E-2</v>
      </c>
      <c r="X15" s="2">
        <f>_xlfn.XLOOKUP($A15,[1]Returns!$A:$A,[1]Returns!X:X)</f>
        <v>0.174356775690232</v>
      </c>
      <c r="Y15" s="2">
        <f>_xlfn.XLOOKUP($A15,[1]Returns!$A:$A,[1]Returns!Y:Y)</f>
        <v>-9.1042596803016851E-2</v>
      </c>
      <c r="Z15" s="2">
        <f>_xlfn.XLOOKUP($A15,[1]Returns!$A:$A,[1]Returns!Z:Z)</f>
        <v>0.17911981515140821</v>
      </c>
      <c r="AA15" s="2">
        <f>_xlfn.XLOOKUP($A15,[1]Returns!$A:$A,[1]Returns!AA:AA)</f>
        <v>4.7003170409684943E-2</v>
      </c>
      <c r="AB15" s="2">
        <f>_xlfn.XLOOKUP($A15,[1]Returns!$A:$A,[1]Returns!AB:AB)</f>
        <v>-9.2181445783686145E-2</v>
      </c>
      <c r="AC15" s="2">
        <f>_xlfn.XLOOKUP($A15,[1]Returns!$A:$A,[1]Returns!AC:AC)</f>
        <v>0.2479183845762456</v>
      </c>
      <c r="AD15" s="2">
        <f>_xlfn.XLOOKUP($A15,[1]Returns!$A:$A,[1]Returns!AD:AD)</f>
        <v>0.14422856360136599</v>
      </c>
      <c r="AE15" s="2">
        <f>_xlfn.XLOOKUP($A15,[1]Returns!$A:$A,[1]Returns!AE:AE)</f>
        <v>0.19203163120775571</v>
      </c>
      <c r="AF15" s="2">
        <f>_xlfn.XLOOKUP($A15,[1]Returns!$A:$A,[1]Returns!AF:AF)</f>
        <v>-0.18167452986828991</v>
      </c>
      <c r="AG15">
        <v>15321258.43</v>
      </c>
    </row>
    <row r="16" spans="1:33" x14ac:dyDescent="0.25">
      <c r="A16" t="s">
        <v>50</v>
      </c>
      <c r="B16" t="s">
        <v>33</v>
      </c>
      <c r="C16" s="2">
        <f>_xlfn.XLOOKUP($A16,[1]Returns!$A:$A,[1]Returns!C:C)</f>
        <v>3.1941444444444363E-2</v>
      </c>
      <c r="D16" s="2">
        <f>_xlfn.XLOOKUP($A16,[1]Returns!$A:$A,[1]Returns!D:D)</f>
        <v>7.8343682302147277E-2</v>
      </c>
      <c r="E16" s="2">
        <f>_xlfn.XLOOKUP($A16,[1]Returns!$A:$A,[1]Returns!E:E)</f>
        <v>6.5198439990229451E-2</v>
      </c>
      <c r="F16" s="2">
        <f>_xlfn.XLOOKUP($A16,[1]Returns!$A:$A,[1]Returns!F:F)</f>
        <v>0.20611206083487829</v>
      </c>
      <c r="G16" s="2">
        <f>_xlfn.XLOOKUP($A16,[1]Returns!$A:$A,[1]Returns!G:G)</f>
        <v>0.13118348815135211</v>
      </c>
      <c r="H16" s="2">
        <f>_xlfn.XLOOKUP($A16,[1]Returns!$A:$A,[1]Returns!H:H)</f>
        <v>0.16903987023430209</v>
      </c>
      <c r="I16" s="2">
        <f>_xlfn.XLOOKUP($A16,[1]Returns!$A:$A,[1]Returns!I:I)</f>
        <v>0.1026619376818538</v>
      </c>
      <c r="J16" s="2">
        <f>_xlfn.XLOOKUP($A16,[1]Returns!$A:$A,[1]Returns!J:J)</f>
        <v>9.7843246265695516E-2</v>
      </c>
      <c r="K16" s="2">
        <f>_xlfn.XLOOKUP($A16,[1]Returns!$A:$A,[1]Returns!K:K)</f>
        <v>2.90999999999999E-2</v>
      </c>
      <c r="L16" s="2">
        <f>_xlfn.XLOOKUP($A16,[1]Returns!$A:$A,[1]Returns!L:L)</f>
        <v>8.5231642040000111E-2</v>
      </c>
      <c r="M16" s="2">
        <f>_xlfn.XLOOKUP($A16,[1]Returns!$A:$A,[1]Returns!M:M)</f>
        <v>0.10161627611346891</v>
      </c>
      <c r="N16" s="2">
        <f>_xlfn.XLOOKUP($A16,[1]Returns!$A:$A,[1]Returns!N:N)</f>
        <v>0.26355768014352893</v>
      </c>
      <c r="O16" s="2">
        <f>_xlfn.XLOOKUP($A16,[1]Returns!$A:$A,[1]Returns!O:O)</f>
        <v>0.16174791700777269</v>
      </c>
      <c r="P16" s="2">
        <f>_xlfn.XLOOKUP($A16,[1]Returns!$A:$A,[1]Returns!P:P)</f>
        <v>0.1506785074338641</v>
      </c>
      <c r="Q16" s="2">
        <f>_xlfn.XLOOKUP($A16,[1]Returns!$A:$A,[1]Returns!Q:Q)</f>
        <v>9.6297839011893149E-2</v>
      </c>
      <c r="R16" s="2">
        <f>_xlfn.XLOOKUP($A16,[1]Returns!$A:$A,[1]Returns!R:R)</f>
        <v>7.6894726818429682E-2</v>
      </c>
      <c r="S16" s="2">
        <f>_xlfn.XLOOKUP($A16,[1]Returns!$A:$A,[1]Returns!S:S)</f>
        <v>0.1789907355690501</v>
      </c>
      <c r="T16" s="2">
        <f>_xlfn.XLOOKUP($A16,[1]Returns!$A:$A,[1]Returns!T:T)</f>
        <v>0.1026385713853166</v>
      </c>
      <c r="U16" s="2">
        <f>_xlfn.XLOOKUP($A16,[1]Returns!$A:$A,[1]Returns!U:U)</f>
        <v>1.4977591714025349E-2</v>
      </c>
      <c r="V16" s="2">
        <f>_xlfn.XLOOKUP($A16,[1]Returns!$A:$A,[1]Returns!V:V)</f>
        <v>0.3011668696139127</v>
      </c>
      <c r="W16" s="2">
        <f>_xlfn.XLOOKUP($A16,[1]Returns!$A:$A,[1]Returns!W:W)</f>
        <v>2.9379985875004119E-2</v>
      </c>
      <c r="X16" s="2">
        <f>_xlfn.XLOOKUP($A16,[1]Returns!$A:$A,[1]Returns!X:X)</f>
        <v>0.2051281246826844</v>
      </c>
      <c r="Y16" s="2">
        <f>_xlfn.XLOOKUP($A16,[1]Returns!$A:$A,[1]Returns!Y:Y)</f>
        <v>-0.10290435971538731</v>
      </c>
      <c r="Z16" s="2">
        <f>_xlfn.XLOOKUP($A16,[1]Returns!$A:$A,[1]Returns!Z:Z)</f>
        <v>0.21639791486141899</v>
      </c>
      <c r="AA16" s="2">
        <f>_xlfn.XLOOKUP($A16,[1]Returns!$A:$A,[1]Returns!AA:AA)</f>
        <v>0.12021853546487481</v>
      </c>
      <c r="AB16" s="2">
        <f>_xlfn.XLOOKUP($A16,[1]Returns!$A:$A,[1]Returns!AB:AB)</f>
        <v>-5.861422986020437E-2</v>
      </c>
      <c r="AC16" s="2">
        <f>_xlfn.XLOOKUP($A16,[1]Returns!$A:$A,[1]Returns!AC:AC)</f>
        <v>0.25087973789207202</v>
      </c>
      <c r="AD16" s="2">
        <f>_xlfn.XLOOKUP($A16,[1]Returns!$A:$A,[1]Returns!AD:AD)</f>
        <v>5.5915166451887321E-2</v>
      </c>
      <c r="AE16" s="2">
        <f>_xlfn.XLOOKUP($A16,[1]Returns!$A:$A,[1]Returns!AE:AE)</f>
        <v>0.22876839007651761</v>
      </c>
      <c r="AF16" s="2">
        <f>_xlfn.XLOOKUP($A16,[1]Returns!$A:$A,[1]Returns!AF:AF)</f>
        <v>-8.8861093780151279E-2</v>
      </c>
      <c r="AG16">
        <v>5275300.41</v>
      </c>
    </row>
    <row r="17" spans="1:33" x14ac:dyDescent="0.25">
      <c r="A17" t="s">
        <v>51</v>
      </c>
      <c r="B17" t="s">
        <v>52</v>
      </c>
      <c r="C17" s="2">
        <f>_xlfn.XLOOKUP($A17,[1]Returns!$A:$A,[1]Returns!C:C)</f>
        <v>6.1875944444444553E-2</v>
      </c>
      <c r="D17" s="2">
        <f>_xlfn.XLOOKUP($A17,[1]Returns!$A:$A,[1]Returns!D:D)</f>
        <v>4.8577890096726861E-2</v>
      </c>
      <c r="E17" s="2">
        <f>_xlfn.XLOOKUP($A17,[1]Returns!$A:$A,[1]Returns!E:E)</f>
        <v>1.8491445265368171E-2</v>
      </c>
      <c r="F17" s="2">
        <f>_xlfn.XLOOKUP($A17,[1]Returns!$A:$A,[1]Returns!F:F)</f>
        <v>8.8455213319080128E-2</v>
      </c>
      <c r="G17" s="2">
        <f>_xlfn.XLOOKUP($A17,[1]Returns!$A:$A,[1]Returns!G:G)</f>
        <v>0.1465309131720445</v>
      </c>
      <c r="H17" s="2">
        <f>_xlfn.XLOOKUP($A17,[1]Returns!$A:$A,[1]Returns!H:H)</f>
        <v>0.1059402634570261</v>
      </c>
      <c r="I17" s="2">
        <f>_xlfn.XLOOKUP($A17,[1]Returns!$A:$A,[1]Returns!I:I)</f>
        <v>0.10264265510830969</v>
      </c>
      <c r="J17" s="2">
        <f>_xlfn.XLOOKUP($A17,[1]Returns!$A:$A,[1]Returns!J:J)</f>
        <v>8.1265799183142473E-2</v>
      </c>
      <c r="K17" s="2">
        <f>_xlfn.XLOOKUP($A17,[1]Returns!$A:$A,[1]Returns!K:K)</f>
        <v>3.6999999999999922E-2</v>
      </c>
      <c r="L17" s="2">
        <f>_xlfn.XLOOKUP($A17,[1]Returns!$A:$A,[1]Returns!L:L)</f>
        <v>5.7380803939999891E-2</v>
      </c>
      <c r="M17" s="2">
        <f>_xlfn.XLOOKUP($A17,[1]Returns!$A:$A,[1]Returns!M:M)</f>
        <v>4.4127366680842162E-2</v>
      </c>
      <c r="N17" s="2">
        <f>_xlfn.XLOOKUP($A17,[1]Returns!$A:$A,[1]Returns!N:N)</f>
        <v>0.15861705826427741</v>
      </c>
      <c r="O17" s="2">
        <f>_xlfn.XLOOKUP($A17,[1]Returns!$A:$A,[1]Returns!O:O)</f>
        <v>0.19628148817845359</v>
      </c>
      <c r="P17" s="2">
        <f>_xlfn.XLOOKUP($A17,[1]Returns!$A:$A,[1]Returns!P:P)</f>
        <v>0.13725172993394569</v>
      </c>
      <c r="Q17" s="2">
        <f>_xlfn.XLOOKUP($A17,[1]Returns!$A:$A,[1]Returns!Q:Q)</f>
        <v>0.1080047898544072</v>
      </c>
      <c r="R17" s="2">
        <f>_xlfn.XLOOKUP($A17,[1]Returns!$A:$A,[1]Returns!R:R)</f>
        <v>8.1977593387603021E-2</v>
      </c>
      <c r="S17" s="2">
        <f>_xlfn.XLOOKUP($A17,[1]Returns!$A:$A,[1]Returns!S:S)</f>
        <v>0.19251440061512121</v>
      </c>
      <c r="T17" s="2">
        <f>_xlfn.XLOOKUP($A17,[1]Returns!$A:$A,[1]Returns!T:T)</f>
        <v>0.14144707145853319</v>
      </c>
      <c r="U17" s="2">
        <f>_xlfn.XLOOKUP($A17,[1]Returns!$A:$A,[1]Returns!U:U)</f>
        <v>-0.119339609569489</v>
      </c>
      <c r="V17" s="2">
        <f>_xlfn.XLOOKUP($A17,[1]Returns!$A:$A,[1]Returns!V:V)</f>
        <v>0.17776070452224821</v>
      </c>
      <c r="W17" s="2">
        <f>_xlfn.XLOOKUP($A17,[1]Returns!$A:$A,[1]Returns!W:W)</f>
        <v>0.15429357627026061</v>
      </c>
      <c r="X17" s="2">
        <f>_xlfn.XLOOKUP($A17,[1]Returns!$A:$A,[1]Returns!X:X)</f>
        <v>0.19951799007801679</v>
      </c>
      <c r="Y17" s="2">
        <f>_xlfn.XLOOKUP($A17,[1]Returns!$A:$A,[1]Returns!Y:Y)</f>
        <v>1.175024958400717E-2</v>
      </c>
      <c r="Z17" s="2">
        <f>_xlfn.XLOOKUP($A17,[1]Returns!$A:$A,[1]Returns!Z:Z)</f>
        <v>0.2815483740958018</v>
      </c>
      <c r="AA17" s="2">
        <f>_xlfn.XLOOKUP($A17,[1]Returns!$A:$A,[1]Returns!AA:AA)</f>
        <v>0.19088023426714379</v>
      </c>
      <c r="AB17" s="2">
        <f>_xlfn.XLOOKUP($A17,[1]Returns!$A:$A,[1]Returns!AB:AB)</f>
        <v>-0.1242951408520198</v>
      </c>
      <c r="AC17" s="2">
        <f>_xlfn.XLOOKUP($A17,[1]Returns!$A:$A,[1]Returns!AC:AC)</f>
        <v>0.17523622407634301</v>
      </c>
      <c r="AD17" s="2">
        <f>_xlfn.XLOOKUP($A17,[1]Returns!$A:$A,[1]Returns!AD:AD)</f>
        <v>0.1225417737020502</v>
      </c>
      <c r="AE17" s="2">
        <f>_xlfn.XLOOKUP($A17,[1]Returns!$A:$A,[1]Returns!AE:AE)</f>
        <v>0.2019868939492451</v>
      </c>
      <c r="AF17" s="2">
        <f>_xlfn.XLOOKUP($A17,[1]Returns!$A:$A,[1]Returns!AF:AF)</f>
        <v>-1.2569244036318761E-2</v>
      </c>
      <c r="AG17">
        <v>27474507.350000001</v>
      </c>
    </row>
    <row r="18" spans="1:33" x14ac:dyDescent="0.25">
      <c r="A18" t="s">
        <v>53</v>
      </c>
      <c r="B18" t="s">
        <v>54</v>
      </c>
      <c r="C18" s="2">
        <f>_xlfn.XLOOKUP($A18,[1]Returns!$A:$A,[1]Returns!C:C)</f>
        <v>2.0326516129032249E-2</v>
      </c>
      <c r="D18" s="2">
        <f>_xlfn.XLOOKUP($A18,[1]Returns!$A:$A,[1]Returns!D:D)</f>
        <v>5.1141353967351089E-2</v>
      </c>
      <c r="E18" s="2">
        <f>_xlfn.XLOOKUP($A18,[1]Returns!$A:$A,[1]Returns!E:E)</f>
        <v>9.9811231048102522E-2</v>
      </c>
      <c r="F18" s="2">
        <f>_xlfn.XLOOKUP($A18,[1]Returns!$A:$A,[1]Returns!F:F)</f>
        <v>0.14672598451192179</v>
      </c>
      <c r="G18" s="2">
        <f>_xlfn.XLOOKUP($A18,[1]Returns!$A:$A,[1]Returns!G:G)</f>
        <v>0.15347146597702979</v>
      </c>
      <c r="H18" s="2">
        <f>_xlfn.XLOOKUP($A18,[1]Returns!$A:$A,[1]Returns!H:H)</f>
        <v>8.8004662767776409E-2</v>
      </c>
      <c r="I18" s="2">
        <f>_xlfn.XLOOKUP($A18,[1]Returns!$A:$A,[1]Returns!I:I)</f>
        <v>6.1452052059663982E-2</v>
      </c>
      <c r="J18" s="2">
        <f>_xlfn.XLOOKUP($A18,[1]Returns!$A:$A,[1]Returns!J:J)</f>
        <v>6.72899287432982E-2</v>
      </c>
      <c r="K18" s="2">
        <f>_xlfn.XLOOKUP($A18,[1]Returns!$A:$A,[1]Returns!K:K)</f>
        <v>1.459999999999995E-2</v>
      </c>
      <c r="L18" s="2">
        <f>_xlfn.XLOOKUP($A18,[1]Returns!$A:$A,[1]Returns!L:L)</f>
        <v>6.2589849487999727E-2</v>
      </c>
      <c r="M18" s="2">
        <f>_xlfn.XLOOKUP($A18,[1]Returns!$A:$A,[1]Returns!M:M)</f>
        <v>0.1376520316387031</v>
      </c>
      <c r="N18" s="2">
        <f>_xlfn.XLOOKUP($A18,[1]Returns!$A:$A,[1]Returns!N:N)</f>
        <v>0.17997363392522231</v>
      </c>
      <c r="O18" s="2">
        <f>_xlfn.XLOOKUP($A18,[1]Returns!$A:$A,[1]Returns!O:O)</f>
        <v>0.1876408791383288</v>
      </c>
      <c r="P18" s="2">
        <f>_xlfn.XLOOKUP($A18,[1]Returns!$A:$A,[1]Returns!P:P)</f>
        <v>0.11667047914568179</v>
      </c>
      <c r="Q18" s="2">
        <f>_xlfn.XLOOKUP($A18,[1]Returns!$A:$A,[1]Returns!Q:Q)</f>
        <v>7.731190454466641E-2</v>
      </c>
      <c r="R18" s="2">
        <f>_xlfn.XLOOKUP($A18,[1]Returns!$A:$A,[1]Returns!R:R)</f>
        <v>7.906640607421922E-2</v>
      </c>
      <c r="S18" s="2">
        <f>_xlfn.XLOOKUP($A18,[1]Returns!$A:$A,[1]Returns!S:S)</f>
        <v>0.1238325144064758</v>
      </c>
      <c r="T18" s="2">
        <f>_xlfn.XLOOKUP($A18,[1]Returns!$A:$A,[1]Returns!T:T)</f>
        <v>0.1603299067404467</v>
      </c>
      <c r="U18" s="2">
        <f>_xlfn.XLOOKUP($A18,[1]Returns!$A:$A,[1]Returns!U:U)</f>
        <v>-0.12561674946454729</v>
      </c>
      <c r="V18" s="2">
        <f>_xlfn.XLOOKUP($A18,[1]Returns!$A:$A,[1]Returns!V:V)</f>
        <v>4.8196984917406649E-2</v>
      </c>
      <c r="W18" s="2">
        <f>_xlfn.XLOOKUP($A18,[1]Returns!$A:$A,[1]Returns!W:W)</f>
        <v>9.1570236649640702E-2</v>
      </c>
      <c r="X18" s="2">
        <f>_xlfn.XLOOKUP($A18,[1]Returns!$A:$A,[1]Returns!X:X)</f>
        <v>0.14015252299746009</v>
      </c>
      <c r="Y18" s="2">
        <f>_xlfn.XLOOKUP($A18,[1]Returns!$A:$A,[1]Returns!Y:Y)</f>
        <v>-7.2063760598472859E-2</v>
      </c>
      <c r="Z18" s="2">
        <f>_xlfn.XLOOKUP($A18,[1]Returns!$A:$A,[1]Returns!Z:Z)</f>
        <v>0.13811859200861359</v>
      </c>
      <c r="AA18" s="2">
        <f>_xlfn.XLOOKUP($A18,[1]Returns!$A:$A,[1]Returns!AA:AA)</f>
        <v>0.1566567055638326</v>
      </c>
      <c r="AB18" s="2">
        <f>_xlfn.XLOOKUP($A18,[1]Returns!$A:$A,[1]Returns!AB:AB)</f>
        <v>-7.7705292109581325E-2</v>
      </c>
      <c r="AC18" s="2">
        <f>_xlfn.XLOOKUP($A18,[1]Returns!$A:$A,[1]Returns!AC:AC)</f>
        <v>0.10817931502983601</v>
      </c>
      <c r="AD18" s="2">
        <f>_xlfn.XLOOKUP($A18,[1]Returns!$A:$A,[1]Returns!AD:AD)</f>
        <v>5.377222737175158E-2</v>
      </c>
      <c r="AE18" s="2">
        <f>_xlfn.XLOOKUP($A18,[1]Returns!$A:$A,[1]Returns!AE:AE)</f>
        <v>0.1645435923658487</v>
      </c>
      <c r="AF18" s="2">
        <f>_xlfn.XLOOKUP($A18,[1]Returns!$A:$A,[1]Returns!AF:AF)</f>
        <v>-5.5537819245731417E-2</v>
      </c>
      <c r="AG18">
        <v>18788911.550000001</v>
      </c>
    </row>
    <row r="19" spans="1:33" x14ac:dyDescent="0.25">
      <c r="A19" t="s">
        <v>55</v>
      </c>
      <c r="B19" t="s">
        <v>33</v>
      </c>
      <c r="C19" s="2">
        <f>_xlfn.XLOOKUP($A19,[1]Returns!$A:$A,[1]Returns!C:C)</f>
        <v>2.6215333333333261E-2</v>
      </c>
      <c r="D19" s="2">
        <f>_xlfn.XLOOKUP($A19,[1]Returns!$A:$A,[1]Returns!D:D)</f>
        <v>5.9849421237785361E-2</v>
      </c>
      <c r="E19" s="2">
        <f>_xlfn.XLOOKUP($A19,[1]Returns!$A:$A,[1]Returns!E:E)</f>
        <v>9.4679312401161342E-2</v>
      </c>
      <c r="F19" s="2">
        <f>_xlfn.XLOOKUP($A19,[1]Returns!$A:$A,[1]Returns!F:F)</f>
        <v>0.22391761076657279</v>
      </c>
      <c r="G19" s="2">
        <f>_xlfn.XLOOKUP($A19,[1]Returns!$A:$A,[1]Returns!G:G)</f>
        <v>0.1524105865072998</v>
      </c>
      <c r="H19" s="2">
        <f>_xlfn.XLOOKUP($A19,[1]Returns!$A:$A,[1]Returns!H:H)</f>
        <v>0.16876918459595111</v>
      </c>
      <c r="I19" s="2">
        <f>_xlfn.XLOOKUP($A19,[1]Returns!$A:$A,[1]Returns!I:I)</f>
        <v>9.7730598979577143E-2</v>
      </c>
      <c r="J19" s="2">
        <f>_xlfn.XLOOKUP($A19,[1]Returns!$A:$A,[1]Returns!J:J)</f>
        <v>8.8247180101207467E-2</v>
      </c>
      <c r="K19" s="2">
        <f>_xlfn.XLOOKUP($A19,[1]Returns!$A:$A,[1]Returns!K:K)</f>
        <v>2.90999999999999E-2</v>
      </c>
      <c r="L19" s="2">
        <f>_xlfn.XLOOKUP($A19,[1]Returns!$A:$A,[1]Returns!L:L)</f>
        <v>8.5231642040000111E-2</v>
      </c>
      <c r="M19" s="2">
        <f>_xlfn.XLOOKUP($A19,[1]Returns!$A:$A,[1]Returns!M:M)</f>
        <v>0.10161627611346891</v>
      </c>
      <c r="N19" s="2">
        <f>_xlfn.XLOOKUP($A19,[1]Returns!$A:$A,[1]Returns!N:N)</f>
        <v>0.26355768014352893</v>
      </c>
      <c r="O19" s="2">
        <f>_xlfn.XLOOKUP($A19,[1]Returns!$A:$A,[1]Returns!O:O)</f>
        <v>0.16174791700777269</v>
      </c>
      <c r="P19" s="2">
        <f>_xlfn.XLOOKUP($A19,[1]Returns!$A:$A,[1]Returns!P:P)</f>
        <v>0.1506785074338641</v>
      </c>
      <c r="Q19" s="2">
        <f>_xlfn.XLOOKUP($A19,[1]Returns!$A:$A,[1]Returns!Q:Q)</f>
        <v>9.6297839011893149E-2</v>
      </c>
      <c r="R19" s="2">
        <f>_xlfn.XLOOKUP($A19,[1]Returns!$A:$A,[1]Returns!R:R)</f>
        <v>8.4317751946220154E-2</v>
      </c>
      <c r="S19" s="2">
        <f>_xlfn.XLOOKUP($A19,[1]Returns!$A:$A,[1]Returns!S:S)</f>
        <v>0.17063771874488459</v>
      </c>
      <c r="T19" s="2">
        <f>_xlfn.XLOOKUP($A19,[1]Returns!$A:$A,[1]Returns!T:T)</f>
        <v>0.10821411542389291</v>
      </c>
      <c r="U19" s="2">
        <f>_xlfn.XLOOKUP($A19,[1]Returns!$A:$A,[1]Returns!U:U)</f>
        <v>7.4346142515499869E-2</v>
      </c>
      <c r="V19" s="2">
        <f>_xlfn.XLOOKUP($A19,[1]Returns!$A:$A,[1]Returns!V:V)</f>
        <v>0.22162757928016791</v>
      </c>
      <c r="W19" s="2">
        <f>_xlfn.XLOOKUP($A19,[1]Returns!$A:$A,[1]Returns!W:W)</f>
        <v>-1.452798809084666E-3</v>
      </c>
      <c r="X19" s="2">
        <f>_xlfn.XLOOKUP($A19,[1]Returns!$A:$A,[1]Returns!X:X)</f>
        <v>0.1855372953368859</v>
      </c>
      <c r="Y19" s="2">
        <f>_xlfn.XLOOKUP($A19,[1]Returns!$A:$A,[1]Returns!Y:Y)</f>
        <v>-9.8920016607088379E-2</v>
      </c>
      <c r="Z19" s="2">
        <f>_xlfn.XLOOKUP($A19,[1]Returns!$A:$A,[1]Returns!Z:Z)</f>
        <v>0.21639791486141899</v>
      </c>
      <c r="AA19" s="2">
        <f>_xlfn.XLOOKUP($A19,[1]Returns!$A:$A,[1]Returns!AA:AA)</f>
        <v>0.12021853546487481</v>
      </c>
      <c r="AB19" s="2">
        <f>_xlfn.XLOOKUP($A19,[1]Returns!$A:$A,[1]Returns!AB:AB)</f>
        <v>-5.861422986020437E-2</v>
      </c>
      <c r="AC19" s="2">
        <f>_xlfn.XLOOKUP($A19,[1]Returns!$A:$A,[1]Returns!AC:AC)</f>
        <v>0.25087973789207202</v>
      </c>
      <c r="AD19" s="2">
        <f>_xlfn.XLOOKUP($A19,[1]Returns!$A:$A,[1]Returns!AD:AD)</f>
        <v>5.5915166451887321E-2</v>
      </c>
      <c r="AE19" s="2">
        <f>_xlfn.XLOOKUP($A19,[1]Returns!$A:$A,[1]Returns!AE:AE)</f>
        <v>0.22876839007651761</v>
      </c>
      <c r="AF19" s="2">
        <f>_xlfn.XLOOKUP($A19,[1]Returns!$A:$A,[1]Returns!AF:AF)</f>
        <v>-8.8861093780151279E-2</v>
      </c>
      <c r="AG19">
        <v>4214482.78</v>
      </c>
    </row>
    <row r="20" spans="1:33" x14ac:dyDescent="0.25">
      <c r="A20" t="s">
        <v>56</v>
      </c>
      <c r="B20" t="s">
        <v>33</v>
      </c>
      <c r="C20" s="2">
        <f>_xlfn.XLOOKUP($A20,[1]Returns!$A:$A,[1]Returns!C:C)</f>
        <v>2.3340399999999931E-2</v>
      </c>
      <c r="D20" s="2">
        <f>_xlfn.XLOOKUP($A20,[1]Returns!$A:$A,[1]Returns!D:D)</f>
        <v>7.131055708284495E-2</v>
      </c>
      <c r="E20" s="2">
        <f>_xlfn.XLOOKUP($A20,[1]Returns!$A:$A,[1]Returns!E:E)</f>
        <v>8.2008873444123331E-2</v>
      </c>
      <c r="F20" s="2">
        <f>_xlfn.XLOOKUP($A20,[1]Returns!$A:$A,[1]Returns!F:F)</f>
        <v>0.2013196150566037</v>
      </c>
      <c r="G20" s="2">
        <f>_xlfn.XLOOKUP($A20,[1]Returns!$A:$A,[1]Returns!G:G)</f>
        <v>0.1703263907887673</v>
      </c>
      <c r="H20" s="2">
        <f>_xlfn.XLOOKUP($A20,[1]Returns!$A:$A,[1]Returns!H:H)</f>
        <v>0.15462179004768781</v>
      </c>
      <c r="I20" s="2">
        <f>_xlfn.XLOOKUP($A20,[1]Returns!$A:$A,[1]Returns!I:I)</f>
        <v>9.772981062475794E-2</v>
      </c>
      <c r="J20" s="2">
        <f>_xlfn.XLOOKUP($A20,[1]Returns!$A:$A,[1]Returns!J:J)</f>
        <v>8.6523938981074577E-2</v>
      </c>
      <c r="K20" s="2">
        <f>_xlfn.XLOOKUP($A20,[1]Returns!$A:$A,[1]Returns!K:K)</f>
        <v>2.90999999999999E-2</v>
      </c>
      <c r="L20" s="2">
        <f>_xlfn.XLOOKUP($A20,[1]Returns!$A:$A,[1]Returns!L:L)</f>
        <v>8.5231642040000111E-2</v>
      </c>
      <c r="M20" s="2">
        <f>_xlfn.XLOOKUP($A20,[1]Returns!$A:$A,[1]Returns!M:M)</f>
        <v>0.10161627611346891</v>
      </c>
      <c r="N20" s="2">
        <f>_xlfn.XLOOKUP($A20,[1]Returns!$A:$A,[1]Returns!N:N)</f>
        <v>0.26355768014352893</v>
      </c>
      <c r="O20" s="2">
        <f>_xlfn.XLOOKUP($A20,[1]Returns!$A:$A,[1]Returns!O:O)</f>
        <v>0.16174791700777269</v>
      </c>
      <c r="P20" s="2">
        <f>_xlfn.XLOOKUP($A20,[1]Returns!$A:$A,[1]Returns!P:P)</f>
        <v>0.1506785074338641</v>
      </c>
      <c r="Q20" s="2">
        <f>_xlfn.XLOOKUP($A20,[1]Returns!$A:$A,[1]Returns!Q:Q)</f>
        <v>9.6297839011893149E-2</v>
      </c>
      <c r="R20" s="2">
        <f>_xlfn.XLOOKUP($A20,[1]Returns!$A:$A,[1]Returns!R:R)</f>
        <v>7.9178860213287017E-2</v>
      </c>
      <c r="S20" s="2">
        <f>_xlfn.XLOOKUP($A20,[1]Returns!$A:$A,[1]Returns!S:S)</f>
        <v>0.21693517822200331</v>
      </c>
      <c r="T20" s="2">
        <f>_xlfn.XLOOKUP($A20,[1]Returns!$A:$A,[1]Returns!T:T)</f>
        <v>0.16128355856189081</v>
      </c>
      <c r="U20" s="2">
        <f>_xlfn.XLOOKUP($A20,[1]Returns!$A:$A,[1]Returns!U:U)</f>
        <v>-6.265463117122505E-2</v>
      </c>
      <c r="V20" s="2">
        <f>_xlfn.XLOOKUP($A20,[1]Returns!$A:$A,[1]Returns!V:V)</f>
        <v>0.2345884019388873</v>
      </c>
      <c r="W20" s="2">
        <f>_xlfn.XLOOKUP($A20,[1]Returns!$A:$A,[1]Returns!W:W)</f>
        <v>4.1925939270043289E-2</v>
      </c>
      <c r="X20" s="2">
        <f>_xlfn.XLOOKUP($A20,[1]Returns!$A:$A,[1]Returns!X:X)</f>
        <v>0.1841829826693191</v>
      </c>
      <c r="Y20" s="2">
        <f>_xlfn.XLOOKUP($A20,[1]Returns!$A:$A,[1]Returns!Y:Y)</f>
        <v>-6.4730847858231022E-2</v>
      </c>
      <c r="Z20" s="2">
        <f>_xlfn.XLOOKUP($A20,[1]Returns!$A:$A,[1]Returns!Z:Z)</f>
        <v>0.21639791486141899</v>
      </c>
      <c r="AA20" s="2">
        <f>_xlfn.XLOOKUP($A20,[1]Returns!$A:$A,[1]Returns!AA:AA)</f>
        <v>0.12021853546487481</v>
      </c>
      <c r="AB20" s="2">
        <f>_xlfn.XLOOKUP($A20,[1]Returns!$A:$A,[1]Returns!AB:AB)</f>
        <v>-5.861422986020437E-2</v>
      </c>
      <c r="AC20" s="2">
        <f>_xlfn.XLOOKUP($A20,[1]Returns!$A:$A,[1]Returns!AC:AC)</f>
        <v>0.25087973789207202</v>
      </c>
      <c r="AD20" s="2">
        <f>_xlfn.XLOOKUP($A20,[1]Returns!$A:$A,[1]Returns!AD:AD)</f>
        <v>5.5915166451887321E-2</v>
      </c>
      <c r="AE20" s="2">
        <f>_xlfn.XLOOKUP($A20,[1]Returns!$A:$A,[1]Returns!AE:AE)</f>
        <v>0.22876839007651761</v>
      </c>
      <c r="AF20" s="2">
        <f>_xlfn.XLOOKUP($A20,[1]Returns!$A:$A,[1]Returns!AF:AF)</f>
        <v>-8.8861093780151279E-2</v>
      </c>
      <c r="AG20">
        <v>11633336.32</v>
      </c>
    </row>
    <row r="21" spans="1:33" x14ac:dyDescent="0.25">
      <c r="A21" t="s">
        <v>57</v>
      </c>
      <c r="B21" t="s">
        <v>35</v>
      </c>
      <c r="C21" s="2">
        <f>_xlfn.XLOOKUP($A21,[1]Returns!$A:$A,[1]Returns!C:C)</f>
        <v>3.2385999999999799E-3</v>
      </c>
      <c r="D21" s="2">
        <f>_xlfn.XLOOKUP($A21,[1]Returns!$A:$A,[1]Returns!D:D)</f>
        <v>-5.9147547327208514E-3</v>
      </c>
      <c r="E21" s="2">
        <f>_xlfn.XLOOKUP($A21,[1]Returns!$A:$A,[1]Returns!E:E)</f>
        <v>1.7613294126814779E-2</v>
      </c>
      <c r="F21" s="2">
        <f>_xlfn.XLOOKUP($A21,[1]Returns!$A:$A,[1]Returns!F:F)</f>
        <v>6.9503628434784304E-2</v>
      </c>
      <c r="G21" s="2">
        <f>_xlfn.XLOOKUP($A21,[1]Returns!$A:$A,[1]Returns!G:G)</f>
        <v>4.8406436900457761E-2</v>
      </c>
      <c r="H21" s="2">
        <f>_xlfn.XLOOKUP($A21,[1]Returns!$A:$A,[1]Returns!H:H)</f>
        <v>-3.3333633263105118E-3</v>
      </c>
      <c r="I21" s="2">
        <f>_xlfn.XLOOKUP($A21,[1]Returns!$A:$A,[1]Returns!I:I)</f>
        <v>2.393077278735856E-2</v>
      </c>
      <c r="J21" s="2">
        <f>_xlfn.XLOOKUP($A21,[1]Returns!$A:$A,[1]Returns!J:J)</f>
        <v>2.7260611075226041E-2</v>
      </c>
      <c r="K21" s="2">
        <f>_xlfn.XLOOKUP($A21,[1]Returns!$A:$A,[1]Returns!K:K)</f>
        <v>5.9999999999993392E-4</v>
      </c>
      <c r="L21" s="2">
        <f>_xlfn.XLOOKUP($A21,[1]Returns!$A:$A,[1]Returns!L:L)</f>
        <v>-5.7050807799999834E-3</v>
      </c>
      <c r="M21" s="2">
        <f>_xlfn.XLOOKUP($A21,[1]Returns!$A:$A,[1]Returns!M:M)</f>
        <v>1.444652343338104E-2</v>
      </c>
      <c r="N21" s="2">
        <f>_xlfn.XLOOKUP($A21,[1]Returns!$A:$A,[1]Returns!N:N)</f>
        <v>6.1163138184022081E-2</v>
      </c>
      <c r="O21" s="2">
        <f>_xlfn.XLOOKUP($A21,[1]Returns!$A:$A,[1]Returns!O:O)</f>
        <v>4.1885590908792292E-2</v>
      </c>
      <c r="P21" s="2">
        <f>_xlfn.XLOOKUP($A21,[1]Returns!$A:$A,[1]Returns!P:P)</f>
        <v>-4.4831443170499918E-3</v>
      </c>
      <c r="Q21" s="2">
        <f>_xlfn.XLOOKUP($A21,[1]Returns!$A:$A,[1]Returns!Q:Q)</f>
        <v>1.8477013901331271E-2</v>
      </c>
      <c r="R21" s="2">
        <f>_xlfn.XLOOKUP($A21,[1]Returns!$A:$A,[1]Returns!R:R)</f>
        <v>2.8914800343172949E-2</v>
      </c>
      <c r="S21" s="2">
        <f>_xlfn.XLOOKUP($A21,[1]Returns!$A:$A,[1]Returns!S:S)</f>
        <v>4.7779083879743611E-2</v>
      </c>
      <c r="T21" s="2">
        <f>_xlfn.XLOOKUP($A21,[1]Returns!$A:$A,[1]Returns!T:T)</f>
        <v>7.1266059690755723E-2</v>
      </c>
      <c r="U21" s="2">
        <f>_xlfn.XLOOKUP($A21,[1]Returns!$A:$A,[1]Returns!U:U)</f>
        <v>-0.1122760042000059</v>
      </c>
      <c r="V21" s="2">
        <f>_xlfn.XLOOKUP($A21,[1]Returns!$A:$A,[1]Returns!V:V)</f>
        <v>-2.948019697857374E-2</v>
      </c>
      <c r="W21" s="2">
        <f>_xlfn.XLOOKUP($A21,[1]Returns!$A:$A,[1]Returns!W:W)</f>
        <v>0.106471440358697</v>
      </c>
      <c r="X21" s="2">
        <f>_xlfn.XLOOKUP($A21,[1]Returns!$A:$A,[1]Returns!X:X)</f>
        <v>5.9792896594321743E-2</v>
      </c>
      <c r="Y21" s="2">
        <f>_xlfn.XLOOKUP($A21,[1]Returns!$A:$A,[1]Returns!Y:Y)</f>
        <v>2.3394529554544349E-2</v>
      </c>
      <c r="Z21" s="2">
        <f>_xlfn.XLOOKUP($A21,[1]Returns!$A:$A,[1]Returns!Z:Z)</f>
        <v>4.2257028382391093E-2</v>
      </c>
      <c r="AA21" s="2">
        <f>_xlfn.XLOOKUP($A21,[1]Returns!$A:$A,[1]Returns!AA:AA)</f>
        <v>6.3062276236460102E-2</v>
      </c>
      <c r="AB21" s="2">
        <f>_xlfn.XLOOKUP($A21,[1]Returns!$A:$A,[1]Returns!AB:AB)</f>
        <v>-0.11689077106871799</v>
      </c>
      <c r="AC21" s="2">
        <f>_xlfn.XLOOKUP($A21,[1]Returns!$A:$A,[1]Returns!AC:AC)</f>
        <v>-2.5394156876443419E-2</v>
      </c>
      <c r="AD21" s="2">
        <f>_xlfn.XLOOKUP($A21,[1]Returns!$A:$A,[1]Returns!AD:AD)</f>
        <v>8.6757289789715752E-2</v>
      </c>
      <c r="AE21" s="2">
        <f>_xlfn.XLOOKUP($A21,[1]Returns!$A:$A,[1]Returns!AE:AE)</f>
        <v>6.8712084440473165E-2</v>
      </c>
      <c r="AF21" s="2">
        <f>_xlfn.XLOOKUP($A21,[1]Returns!$A:$A,[1]Returns!AF:AF)</f>
        <v>1.4079379818825901E-2</v>
      </c>
      <c r="AG21">
        <v>14289819.52</v>
      </c>
    </row>
    <row r="22" spans="1:33" x14ac:dyDescent="0.25">
      <c r="A22" t="s">
        <v>58</v>
      </c>
      <c r="B22" t="s">
        <v>59</v>
      </c>
      <c r="C22" s="2">
        <f>_xlfn.XLOOKUP($A22,[1]Returns!$A:$A,[1]Returns!C:C)</f>
        <v>1.6798000000000091E-2</v>
      </c>
      <c r="D22" s="2">
        <f>_xlfn.XLOOKUP($A22,[1]Returns!$A:$A,[1]Returns!D:D)</f>
        <v>3.8275714925727122E-2</v>
      </c>
      <c r="E22" s="2">
        <f>_xlfn.XLOOKUP($A22,[1]Returns!$A:$A,[1]Returns!E:E)</f>
        <v>4.1482569338445067E-2</v>
      </c>
      <c r="F22" s="2">
        <f>_xlfn.XLOOKUP($A22,[1]Returns!$A:$A,[1]Returns!F:F)</f>
        <v>0.14359199128325881</v>
      </c>
      <c r="G22" s="2">
        <f>_xlfn.XLOOKUP($A22,[1]Returns!$A:$A,[1]Returns!G:G)</f>
        <v>0.13748700862666219</v>
      </c>
      <c r="H22" s="2">
        <f>_xlfn.XLOOKUP($A22,[1]Returns!$A:$A,[1]Returns!H:H)</f>
        <v>0.12637888343476081</v>
      </c>
      <c r="I22" s="2">
        <f>_xlfn.XLOOKUP($A22,[1]Returns!$A:$A,[1]Returns!I:I)</f>
        <v>9.0628482559299783E-2</v>
      </c>
      <c r="J22" s="2">
        <f>_xlfn.XLOOKUP($A22,[1]Returns!$A:$A,[1]Returns!J:J)</f>
        <v>7.9097642171012561E-2</v>
      </c>
      <c r="K22" s="2">
        <f>_xlfn.XLOOKUP($A22,[1]Returns!$A:$A,[1]Returns!K:K)</f>
        <v>1.9500000000000069E-2</v>
      </c>
      <c r="L22" s="2">
        <f>_xlfn.XLOOKUP($A22,[1]Returns!$A:$A,[1]Returns!L:L)</f>
        <v>4.0084520600000013E-2</v>
      </c>
      <c r="M22" s="2">
        <f>_xlfn.XLOOKUP($A22,[1]Returns!$A:$A,[1]Returns!M:M)</f>
        <v>4.7942051537735342E-2</v>
      </c>
      <c r="N22" s="2">
        <f>_xlfn.XLOOKUP($A22,[1]Returns!$A:$A,[1]Returns!N:N)</f>
        <v>0.14962856807481659</v>
      </c>
      <c r="O22" s="2">
        <f>_xlfn.XLOOKUP($A22,[1]Returns!$A:$A,[1]Returns!O:O)</f>
        <v>0.1261733099692515</v>
      </c>
      <c r="P22" s="2">
        <f>_xlfn.XLOOKUP($A22,[1]Returns!$A:$A,[1]Returns!P:P)</f>
        <v>8.7498464844649515E-2</v>
      </c>
      <c r="Q22" s="2">
        <f>_xlfn.XLOOKUP($A22,[1]Returns!$A:$A,[1]Returns!Q:Q)</f>
        <v>7.4596100789319442E-2</v>
      </c>
      <c r="R22" s="2">
        <f>_xlfn.XLOOKUP($A22,[1]Returns!$A:$A,[1]Returns!R:R)</f>
        <v>7.6516039703509842E-2</v>
      </c>
      <c r="S22" s="2">
        <f>_xlfn.XLOOKUP($A22,[1]Returns!$A:$A,[1]Returns!S:S)</f>
        <v>0.1847901072070588</v>
      </c>
      <c r="T22" s="2">
        <f>_xlfn.XLOOKUP($A22,[1]Returns!$A:$A,[1]Returns!T:T)</f>
        <v>0.14129585786912119</v>
      </c>
      <c r="U22" s="2">
        <f>_xlfn.XLOOKUP($A22,[1]Returns!$A:$A,[1]Returns!U:U)</f>
        <v>-0.10715189023336751</v>
      </c>
      <c r="V22" s="2">
        <f>_xlfn.XLOOKUP($A22,[1]Returns!$A:$A,[1]Returns!V:V)</f>
        <v>0.1390876955281328</v>
      </c>
      <c r="W22" s="2">
        <f>_xlfn.XLOOKUP($A22,[1]Returns!$A:$A,[1]Returns!W:W)</f>
        <v>0.27876690576895458</v>
      </c>
      <c r="X22" s="2">
        <f>_xlfn.XLOOKUP($A22,[1]Returns!$A:$A,[1]Returns!X:X)</f>
        <v>0.12965554966895601</v>
      </c>
      <c r="Y22" s="2">
        <f>_xlfn.XLOOKUP($A22,[1]Returns!$A:$A,[1]Returns!Y:Y)</f>
        <v>-2.6555424912946379E-2</v>
      </c>
      <c r="Z22" s="2">
        <f>_xlfn.XLOOKUP($A22,[1]Returns!$A:$A,[1]Returns!Z:Z)</f>
        <v>0.1663275792250731</v>
      </c>
      <c r="AA22" s="2">
        <f>_xlfn.XLOOKUP($A22,[1]Returns!$A:$A,[1]Returns!AA:AA)</f>
        <v>0.1240317190194777</v>
      </c>
      <c r="AB22" s="2">
        <f>_xlfn.XLOOKUP($A22,[1]Returns!$A:$A,[1]Returns!AB:AB)</f>
        <v>-9.8973580499673863E-2</v>
      </c>
      <c r="AC22" s="2">
        <f>_xlfn.XLOOKUP($A22,[1]Returns!$A:$A,[1]Returns!AC:AC)</f>
        <v>0.1310961488382727</v>
      </c>
      <c r="AD22" s="2">
        <f>_xlfn.XLOOKUP($A22,[1]Returns!$A:$A,[1]Returns!AD:AD)</f>
        <v>9.6828978745500338E-2</v>
      </c>
      <c r="AE22" s="2">
        <f>_xlfn.XLOOKUP($A22,[1]Returns!$A:$A,[1]Returns!AE:AE)</f>
        <v>0.1578400001663933</v>
      </c>
      <c r="AF22" s="2">
        <f>_xlfn.XLOOKUP($A22,[1]Returns!$A:$A,[1]Returns!AF:AF)</f>
        <v>-1.6408690648921479E-2</v>
      </c>
      <c r="AG22">
        <v>19490275.800000001</v>
      </c>
    </row>
    <row r="23" spans="1:33" x14ac:dyDescent="0.25">
      <c r="A23" t="s">
        <v>60</v>
      </c>
      <c r="B23" t="s">
        <v>37</v>
      </c>
      <c r="C23" s="2">
        <f>_xlfn.XLOOKUP($A23,[1]Returns!$A:$A,[1]Returns!C:C)</f>
        <v>5.5673000000000528E-3</v>
      </c>
      <c r="D23" s="2">
        <f>_xlfn.XLOOKUP($A23,[1]Returns!$A:$A,[1]Returns!D:D)</f>
        <v>1.34055746947872E-2</v>
      </c>
      <c r="E23" s="2">
        <f>_xlfn.XLOOKUP($A23,[1]Returns!$A:$A,[1]Returns!E:E)</f>
        <v>2.028555601092763E-2</v>
      </c>
      <c r="F23" s="2">
        <f>_xlfn.XLOOKUP($A23,[1]Returns!$A:$A,[1]Returns!F:F)</f>
        <v>0.1117676525635318</v>
      </c>
      <c r="G23" s="2">
        <f>_xlfn.XLOOKUP($A23,[1]Returns!$A:$A,[1]Returns!G:G)</f>
        <v>0.17749429681225259</v>
      </c>
      <c r="H23" s="2">
        <f>_xlfn.XLOOKUP($A23,[1]Returns!$A:$A,[1]Returns!H:H)</f>
        <v>0.13893451706079959</v>
      </c>
      <c r="I23" s="2">
        <f>_xlfn.XLOOKUP($A23,[1]Returns!$A:$A,[1]Returns!I:I)</f>
        <v>0.107134023126658</v>
      </c>
      <c r="J23" s="2">
        <f>_xlfn.XLOOKUP($A23,[1]Returns!$A:$A,[1]Returns!J:J)</f>
        <v>0.1107195820167468</v>
      </c>
      <c r="K23" s="2">
        <f>_xlfn.XLOOKUP($A23,[1]Returns!$A:$A,[1]Returns!K:K)</f>
        <v>3.5199999999999898E-2</v>
      </c>
      <c r="L23" s="2">
        <f>_xlfn.XLOOKUP($A23,[1]Returns!$A:$A,[1]Returns!L:L)</f>
        <v>5.6813619887999822E-2</v>
      </c>
      <c r="M23" s="2">
        <f>_xlfn.XLOOKUP($A23,[1]Returns!$A:$A,[1]Returns!M:M)</f>
        <v>3.8563366779366337E-2</v>
      </c>
      <c r="N23" s="2">
        <f>_xlfn.XLOOKUP($A23,[1]Returns!$A:$A,[1]Returns!N:N)</f>
        <v>0.1592335772126752</v>
      </c>
      <c r="O23" s="2">
        <f>_xlfn.XLOOKUP($A23,[1]Returns!$A:$A,[1]Returns!O:O)</f>
        <v>0.20815735429916329</v>
      </c>
      <c r="P23" s="2">
        <f>_xlfn.XLOOKUP($A23,[1]Returns!$A:$A,[1]Returns!P:P)</f>
        <v>0.14860453496100429</v>
      </c>
      <c r="Q23" s="2">
        <f>_xlfn.XLOOKUP($A23,[1]Returns!$A:$A,[1]Returns!Q:Q)</f>
        <v>0.1202924196785458</v>
      </c>
      <c r="R23" s="2">
        <f>_xlfn.XLOOKUP($A23,[1]Returns!$A:$A,[1]Returns!R:R)</f>
        <v>0.13156739100778189</v>
      </c>
      <c r="S23" s="2">
        <f>_xlfn.XLOOKUP($A23,[1]Returns!$A:$A,[1]Returns!S:S)</f>
        <v>0.26716999713421141</v>
      </c>
      <c r="T23" s="2">
        <f>_xlfn.XLOOKUP($A23,[1]Returns!$A:$A,[1]Returns!T:T)</f>
        <v>0.17242431806507999</v>
      </c>
      <c r="U23" s="2">
        <f>_xlfn.XLOOKUP($A23,[1]Returns!$A:$A,[1]Returns!U:U)</f>
        <v>-7.7608178432540642E-2</v>
      </c>
      <c r="V23" s="2">
        <f>_xlfn.XLOOKUP($A23,[1]Returns!$A:$A,[1]Returns!V:V)</f>
        <v>0.2685087416826839</v>
      </c>
      <c r="W23" s="2">
        <f>_xlfn.XLOOKUP($A23,[1]Returns!$A:$A,[1]Returns!W:W)</f>
        <v>6.9484493602757436E-2</v>
      </c>
      <c r="X23" s="2">
        <f>_xlfn.XLOOKUP($A23,[1]Returns!$A:$A,[1]Returns!X:X)</f>
        <v>0.18579928386096009</v>
      </c>
      <c r="Y23" s="2">
        <f>_xlfn.XLOOKUP($A23,[1]Returns!$A:$A,[1]Returns!Y:Y)</f>
        <v>-1.734092389593855E-2</v>
      </c>
      <c r="Z23" s="2">
        <f>_xlfn.XLOOKUP($A23,[1]Returns!$A:$A,[1]Returns!Z:Z)</f>
        <v>0.29426365037508218</v>
      </c>
      <c r="AA23" s="2">
        <f>_xlfn.XLOOKUP($A23,[1]Returns!$A:$A,[1]Returns!AA:AA)</f>
        <v>0.21016918258785361</v>
      </c>
      <c r="AB23" s="2">
        <f>_xlfn.XLOOKUP($A23,[1]Returns!$A:$A,[1]Returns!AB:AB)</f>
        <v>-0.1174573603921328</v>
      </c>
      <c r="AC23" s="2">
        <f>_xlfn.XLOOKUP($A23,[1]Returns!$A:$A,[1]Returns!AC:AC)</f>
        <v>0.21310109733026381</v>
      </c>
      <c r="AD23" s="2">
        <f>_xlfn.XLOOKUP($A23,[1]Returns!$A:$A,[1]Returns!AD:AD)</f>
        <v>0.13322710348184111</v>
      </c>
      <c r="AE23" s="2">
        <f>_xlfn.XLOOKUP($A23,[1]Returns!$A:$A,[1]Returns!AE:AE)</f>
        <v>0.21910476774026419</v>
      </c>
      <c r="AF23" s="2">
        <f>_xlfn.XLOOKUP($A23,[1]Returns!$A:$A,[1]Returns!AF:AF)</f>
        <v>6.3113667818059938E-4</v>
      </c>
      <c r="AG23">
        <v>48140399.380000003</v>
      </c>
    </row>
    <row r="24" spans="1:33" x14ac:dyDescent="0.25">
      <c r="A24" t="s">
        <v>63</v>
      </c>
      <c r="B24" t="s">
        <v>75</v>
      </c>
      <c r="C24" s="2">
        <f>_xlfn.XLOOKUP($A24,[1]Returns!$A:$A,[1]Returns!C:C)</f>
        <v>2.4612767695433302E-3</v>
      </c>
      <c r="D24" s="2">
        <f>_xlfn.XLOOKUP($A24,[1]Returns!$A:$A,[1]Returns!D:D)</f>
        <v>7.4020188687664579E-3</v>
      </c>
      <c r="E24" s="2">
        <f>_xlfn.XLOOKUP($A24,[1]Returns!$A:$A,[1]Returns!E:E)</f>
        <v>1.4858827620866769E-2</v>
      </c>
      <c r="F24" s="2">
        <f>_xlfn.XLOOKUP($A24,[1]Returns!$A:$A,[1]Returns!F:F)</f>
        <v>2.993844E-2</v>
      </c>
      <c r="G24" s="2">
        <f>_xlfn.XLOOKUP($A24,[1]Returns!$A:$A,[1]Returns!G:G)</f>
        <v>2.993844E-2</v>
      </c>
      <c r="H24" s="2">
        <f>_xlfn.XLOOKUP($A24,[1]Returns!$A:$A,[1]Returns!H:H)</f>
        <v>2.993844E-2</v>
      </c>
      <c r="I24" s="2">
        <f>_xlfn.XLOOKUP($A24,[1]Returns!$A:$A,[1]Returns!I:I)</f>
        <v>2.993844E-2</v>
      </c>
      <c r="J24" s="2">
        <f>_xlfn.XLOOKUP($A24,[1]Returns!$A:$A,[1]Returns!J:J)</f>
        <v>2.993844E-2</v>
      </c>
      <c r="K24" s="2">
        <f>_xlfn.XLOOKUP($A24,[1]Returns!$A:$A,[1]Returns!K:K)</f>
        <v>2.4612767695433302E-3</v>
      </c>
      <c r="L24" s="2">
        <f>_xlfn.XLOOKUP($A24,[1]Returns!$A:$A,[1]Returns!L:L)</f>
        <v>7.4020188687664579E-3</v>
      </c>
      <c r="M24" s="2">
        <f>_xlfn.XLOOKUP($A24,[1]Returns!$A:$A,[1]Returns!M:M)</f>
        <v>1.4858827620866769E-2</v>
      </c>
      <c r="N24" s="2">
        <f>_xlfn.XLOOKUP($A24,[1]Returns!$A:$A,[1]Returns!N:N)</f>
        <v>2.993844E-2</v>
      </c>
      <c r="O24" s="2">
        <f>_xlfn.XLOOKUP($A24,[1]Returns!$A:$A,[1]Returns!O:O)</f>
        <v>2.993844E-2</v>
      </c>
      <c r="P24" s="2">
        <f>_xlfn.XLOOKUP($A24,[1]Returns!$A:$A,[1]Returns!P:P)</f>
        <v>2.993844E-2</v>
      </c>
      <c r="Q24" s="2">
        <f>_xlfn.XLOOKUP($A24,[1]Returns!$A:$A,[1]Returns!Q:Q)</f>
        <v>2.993844E-2</v>
      </c>
      <c r="R24" s="2">
        <f>_xlfn.XLOOKUP($A24,[1]Returns!$A:$A,[1]Returns!R:R)</f>
        <v>2.993844E-2</v>
      </c>
      <c r="S24" s="2">
        <f>_xlfn.XLOOKUP($A24,[1]Returns!$A:$A,[1]Returns!S:S)</f>
        <v>2.993844E-2</v>
      </c>
      <c r="T24" s="2">
        <f>_xlfn.XLOOKUP($A24,[1]Returns!$A:$A,[1]Returns!T:T)</f>
        <v>2.993844E-2</v>
      </c>
      <c r="U24" s="2">
        <f>_xlfn.XLOOKUP($A24,[1]Returns!$A:$A,[1]Returns!U:U)</f>
        <v>2.993844E-2</v>
      </c>
      <c r="V24" s="2">
        <f>_xlfn.XLOOKUP($A24,[1]Returns!$A:$A,[1]Returns!V:V)</f>
        <v>2.993844E-2</v>
      </c>
      <c r="W24" s="2">
        <f>_xlfn.XLOOKUP($A24,[1]Returns!$A:$A,[1]Returns!W:W)</f>
        <v>2.993844E-2</v>
      </c>
      <c r="X24" s="2">
        <f>_xlfn.XLOOKUP($A24,[1]Returns!$A:$A,[1]Returns!X:X)</f>
        <v>2.993844E-2</v>
      </c>
      <c r="Y24" s="2">
        <f>_xlfn.XLOOKUP($A24,[1]Returns!$A:$A,[1]Returns!Y:Y)</f>
        <v>2.993844E-2</v>
      </c>
      <c r="Z24" s="2">
        <f>_xlfn.XLOOKUP($A24,[1]Returns!$A:$A,[1]Returns!Z:Z)</f>
        <v>2.993844E-2</v>
      </c>
      <c r="AA24" s="2">
        <f>_xlfn.XLOOKUP($A24,[1]Returns!$A:$A,[1]Returns!AA:AA)</f>
        <v>2.993844E-2</v>
      </c>
      <c r="AB24" s="2">
        <f>_xlfn.XLOOKUP($A24,[1]Returns!$A:$A,[1]Returns!AB:AB)</f>
        <v>2.993844E-2</v>
      </c>
      <c r="AC24" s="2">
        <f>_xlfn.XLOOKUP($A24,[1]Returns!$A:$A,[1]Returns!AC:AC)</f>
        <v>2.993844E-2</v>
      </c>
      <c r="AD24" s="2">
        <f>_xlfn.XLOOKUP($A24,[1]Returns!$A:$A,[1]Returns!AD:AD)</f>
        <v>2.993844E-2</v>
      </c>
      <c r="AE24" s="2">
        <f>_xlfn.XLOOKUP($A24,[1]Returns!$A:$A,[1]Returns!AE:AE)</f>
        <v>2.993844E-2</v>
      </c>
      <c r="AF24" s="2">
        <f>_xlfn.XLOOKUP($A24,[1]Returns!$A:$A,[1]Returns!AF:AF)</f>
        <v>2.993844E-2</v>
      </c>
      <c r="AG24">
        <v>37358654.07</v>
      </c>
    </row>
    <row r="25" spans="1:33" x14ac:dyDescent="0.25">
      <c r="A25" t="s">
        <v>62</v>
      </c>
      <c r="B25" t="s">
        <v>76</v>
      </c>
      <c r="C25" s="2">
        <f>_xlfn.XLOOKUP($A25,[1]Returns!$A:$A,[1]Returns!C:C)</f>
        <v>2.3551441116920202E-3</v>
      </c>
      <c r="D25" s="2">
        <f>_xlfn.XLOOKUP($A25,[1]Returns!$A:$A,[1]Returns!D:D)</f>
        <v>7.0820855097233348E-3</v>
      </c>
      <c r="E25" s="2">
        <f>_xlfn.XLOOKUP($A25,[1]Returns!$A:$A,[1]Returns!E:E)</f>
        <v>1.4214326954613551E-2</v>
      </c>
      <c r="F25" s="2">
        <f>_xlfn.XLOOKUP($A25,[1]Returns!$A:$A,[1]Returns!F:F)</f>
        <v>2.8630701000000008E-2</v>
      </c>
      <c r="G25" s="2">
        <f>_xlfn.XLOOKUP($A25,[1]Returns!$A:$A,[1]Returns!G:G)</f>
        <v>2.8630701000000008E-2</v>
      </c>
      <c r="H25" s="2">
        <f>_xlfn.XLOOKUP($A25,[1]Returns!$A:$A,[1]Returns!H:H)</f>
        <v>2.8630701000000008E-2</v>
      </c>
      <c r="I25" s="2">
        <f>_xlfn.XLOOKUP($A25,[1]Returns!$A:$A,[1]Returns!I:I)</f>
        <v>2.8630701000000008E-2</v>
      </c>
      <c r="J25" s="2">
        <f>_xlfn.XLOOKUP($A25,[1]Returns!$A:$A,[1]Returns!J:J)</f>
        <v>2.8630701000000008E-2</v>
      </c>
      <c r="K25" s="2">
        <f>_xlfn.XLOOKUP($A25,[1]Returns!$A:$A,[1]Returns!K:K)</f>
        <v>2.3551441116920202E-3</v>
      </c>
      <c r="L25" s="2">
        <f>_xlfn.XLOOKUP($A25,[1]Returns!$A:$A,[1]Returns!L:L)</f>
        <v>7.0820855097233348E-3</v>
      </c>
      <c r="M25" s="2">
        <f>_xlfn.XLOOKUP($A25,[1]Returns!$A:$A,[1]Returns!M:M)</f>
        <v>1.4214326954613551E-2</v>
      </c>
      <c r="N25" s="2">
        <f>_xlfn.XLOOKUP($A25,[1]Returns!$A:$A,[1]Returns!N:N)</f>
        <v>2.8630701000000008E-2</v>
      </c>
      <c r="O25" s="2">
        <f>_xlfn.XLOOKUP($A25,[1]Returns!$A:$A,[1]Returns!O:O)</f>
        <v>2.8630701000000008E-2</v>
      </c>
      <c r="P25" s="2">
        <f>_xlfn.XLOOKUP($A25,[1]Returns!$A:$A,[1]Returns!P:P)</f>
        <v>2.8630701000000008E-2</v>
      </c>
      <c r="Q25" s="2">
        <f>_xlfn.XLOOKUP($A25,[1]Returns!$A:$A,[1]Returns!Q:Q)</f>
        <v>2.8630701000000008E-2</v>
      </c>
      <c r="R25" s="2">
        <f>_xlfn.XLOOKUP($A25,[1]Returns!$A:$A,[1]Returns!R:R)</f>
        <v>2.8630701000000008E-2</v>
      </c>
      <c r="S25" s="2">
        <f>_xlfn.XLOOKUP($A25,[1]Returns!$A:$A,[1]Returns!S:S)</f>
        <v>2.8630701000000008E-2</v>
      </c>
      <c r="T25" s="2">
        <f>_xlfn.XLOOKUP($A25,[1]Returns!$A:$A,[1]Returns!T:T)</f>
        <v>2.8630701000000008E-2</v>
      </c>
      <c r="U25" s="2">
        <f>_xlfn.XLOOKUP($A25,[1]Returns!$A:$A,[1]Returns!U:U)</f>
        <v>2.8630701000000008E-2</v>
      </c>
      <c r="V25" s="2">
        <f>_xlfn.XLOOKUP($A25,[1]Returns!$A:$A,[1]Returns!V:V)</f>
        <v>2.8630701000000008E-2</v>
      </c>
      <c r="W25" s="2">
        <f>_xlfn.XLOOKUP($A25,[1]Returns!$A:$A,[1]Returns!W:W)</f>
        <v>2.8630701000000008E-2</v>
      </c>
      <c r="X25" s="2">
        <f>_xlfn.XLOOKUP($A25,[1]Returns!$A:$A,[1]Returns!X:X)</f>
        <v>2.8630701000000008E-2</v>
      </c>
      <c r="Y25" s="2">
        <f>_xlfn.XLOOKUP($A25,[1]Returns!$A:$A,[1]Returns!Y:Y)</f>
        <v>2.8630701000000008E-2</v>
      </c>
      <c r="Z25" s="2">
        <f>_xlfn.XLOOKUP($A25,[1]Returns!$A:$A,[1]Returns!Z:Z)</f>
        <v>2.8630701000000008E-2</v>
      </c>
      <c r="AA25" s="2">
        <f>_xlfn.XLOOKUP($A25,[1]Returns!$A:$A,[1]Returns!AA:AA)</f>
        <v>2.8630701000000008E-2</v>
      </c>
      <c r="AB25" s="2">
        <f>_xlfn.XLOOKUP($A25,[1]Returns!$A:$A,[1]Returns!AB:AB)</f>
        <v>2.8630701000000008E-2</v>
      </c>
      <c r="AC25" s="2">
        <f>_xlfn.XLOOKUP($A25,[1]Returns!$A:$A,[1]Returns!AC:AC)</f>
        <v>2.8630701000000008E-2</v>
      </c>
      <c r="AD25" s="2">
        <f>_xlfn.XLOOKUP($A25,[1]Returns!$A:$A,[1]Returns!AD:AD)</f>
        <v>2.8630701000000008E-2</v>
      </c>
      <c r="AE25" s="2">
        <f>_xlfn.XLOOKUP($A25,[1]Returns!$A:$A,[1]Returns!AE:AE)</f>
        <v>2.8630701000000008E-2</v>
      </c>
      <c r="AF25" s="2">
        <f>_xlfn.XLOOKUP($A25,[1]Returns!$A:$A,[1]Returns!AF:AF)</f>
        <v>2.8630701000000008E-2</v>
      </c>
      <c r="AG25">
        <v>130317840.72</v>
      </c>
    </row>
    <row r="26" spans="1:33" x14ac:dyDescent="0.25">
      <c r="A26" t="s">
        <v>70</v>
      </c>
      <c r="B26" t="s">
        <v>77</v>
      </c>
      <c r="C26" s="2">
        <f>_xlfn.XLOOKUP($A26,[1]Returns!$A:$A,[1]Returns!C:C)</f>
        <v>1.7611999999999961E-2</v>
      </c>
      <c r="D26" s="2">
        <f>_xlfn.XLOOKUP($A26,[1]Returns!$A:$A,[1]Returns!D:D)</f>
        <v>3.8858405488279901E-2</v>
      </c>
      <c r="E26" s="2">
        <f>_xlfn.XLOOKUP($A26,[1]Returns!$A:$A,[1]Returns!E:E)</f>
        <v>2.0918223333737052E-2</v>
      </c>
      <c r="F26" s="2">
        <f>_xlfn.XLOOKUP($A26,[1]Returns!$A:$A,[1]Returns!F:F)</f>
        <v>0.13953825248700241</v>
      </c>
      <c r="G26" s="2">
        <f>_xlfn.XLOOKUP($A26,[1]Returns!$A:$A,[1]Returns!G:G)</f>
        <v>0.20127605577475821</v>
      </c>
      <c r="H26" s="2">
        <f>_xlfn.XLOOKUP($A26,[1]Returns!$A:$A,[1]Returns!H:H)</f>
        <v>0.14467478939725781</v>
      </c>
      <c r="I26" s="2">
        <f>_xlfn.XLOOKUP($A26,[1]Returns!$A:$A,[1]Returns!I:I)</f>
        <v>0.118374337323343</v>
      </c>
      <c r="J26" s="2">
        <f>_xlfn.XLOOKUP($A26,[1]Returns!$A:$A,[1]Returns!J:J)</f>
        <v>9.2146810365936194E-2</v>
      </c>
      <c r="K26" s="2">
        <f>_xlfn.XLOOKUP($A26,[1]Returns!$A:$A,[1]Returns!K:K)</f>
        <v>3.5199999999999898E-2</v>
      </c>
      <c r="L26" s="2">
        <f>_xlfn.XLOOKUP($A26,[1]Returns!$A:$A,[1]Returns!L:L)</f>
        <v>5.6813619887999822E-2</v>
      </c>
      <c r="M26" s="2">
        <f>_xlfn.XLOOKUP($A26,[1]Returns!$A:$A,[1]Returns!M:M)</f>
        <v>3.8563366779366337E-2</v>
      </c>
      <c r="N26" s="2">
        <f>_xlfn.XLOOKUP($A26,[1]Returns!$A:$A,[1]Returns!N:N)</f>
        <v>0.1592335772126752</v>
      </c>
      <c r="O26" s="2">
        <f>_xlfn.XLOOKUP($A26,[1]Returns!$A:$A,[1]Returns!O:O)</f>
        <v>0.20815735429916329</v>
      </c>
      <c r="P26" s="2">
        <f>_xlfn.XLOOKUP($A26,[1]Returns!$A:$A,[1]Returns!P:P)</f>
        <v>0.14860453496100429</v>
      </c>
      <c r="Q26" s="2">
        <f>_xlfn.XLOOKUP($A26,[1]Returns!$A:$A,[1]Returns!Q:Q)</f>
        <v>0.1202924196785458</v>
      </c>
      <c r="R26" s="2">
        <f>_xlfn.XLOOKUP($A26,[1]Returns!$A:$A,[1]Returns!R:R)</f>
        <v>9.2978903224587128E-2</v>
      </c>
      <c r="S26" s="2">
        <f>_xlfn.XLOOKUP($A26,[1]Returns!$A:$A,[1]Returns!S:S)</f>
        <v>0.29426365037508218</v>
      </c>
      <c r="T26" s="2">
        <f>_xlfn.XLOOKUP($A26,[1]Returns!$A:$A,[1]Returns!T:T)</f>
        <v>0.21016918258785361</v>
      </c>
      <c r="U26" s="2">
        <f>_xlfn.XLOOKUP($A26,[1]Returns!$A:$A,[1]Returns!U:U)</f>
        <v>-0.1174573603921328</v>
      </c>
      <c r="V26" s="2">
        <f>_xlfn.XLOOKUP($A26,[1]Returns!$A:$A,[1]Returns!V:V)</f>
        <v>0.21310109733026381</v>
      </c>
      <c r="W26" s="2">
        <f>_xlfn.XLOOKUP($A26,[1]Returns!$A:$A,[1]Returns!W:W)</f>
        <v>0.13322710348184111</v>
      </c>
      <c r="X26" s="2">
        <f>_xlfn.XLOOKUP($A26,[1]Returns!$A:$A,[1]Returns!X:X)</f>
        <v>0.21910476774026419</v>
      </c>
      <c r="Y26" s="2">
        <f>_xlfn.XLOOKUP($A26,[1]Returns!$A:$A,[1]Returns!Y:Y)</f>
        <v>6.3113667818059938E-4</v>
      </c>
      <c r="Z26" s="2">
        <f>_xlfn.XLOOKUP($A26,[1]Returns!$A:$A,[1]Returns!Z:Z)</f>
        <v>0.29426365037508218</v>
      </c>
      <c r="AA26" s="2">
        <f>_xlfn.XLOOKUP($A26,[1]Returns!$A:$A,[1]Returns!AA:AA)</f>
        <v>0.21016918258785361</v>
      </c>
      <c r="AB26" s="2">
        <f>_xlfn.XLOOKUP($A26,[1]Returns!$A:$A,[1]Returns!AB:AB)</f>
        <v>-0.1174573603921328</v>
      </c>
      <c r="AC26" s="2">
        <f>_xlfn.XLOOKUP($A26,[1]Returns!$A:$A,[1]Returns!AC:AC)</f>
        <v>0.21310109733026381</v>
      </c>
      <c r="AD26" s="2">
        <f>_xlfn.XLOOKUP($A26,[1]Returns!$A:$A,[1]Returns!AD:AD)</f>
        <v>0.13322710348184111</v>
      </c>
      <c r="AE26" s="2">
        <f>_xlfn.XLOOKUP($A26,[1]Returns!$A:$A,[1]Returns!AE:AE)</f>
        <v>0.21910476774026419</v>
      </c>
      <c r="AF26" s="2">
        <f>_xlfn.XLOOKUP($A26,[1]Returns!$A:$A,[1]Returns!AF:AF)</f>
        <v>6.3113667818059938E-4</v>
      </c>
      <c r="AG26">
        <v>-388310.68</v>
      </c>
    </row>
    <row r="27" spans="1:33" x14ac:dyDescent="0.25">
      <c r="A27" t="s">
        <v>61</v>
      </c>
      <c r="B27" t="s">
        <v>78</v>
      </c>
      <c r="C27" s="2">
        <f>_xlfn.XLOOKUP($A27,[1]Returns!$A:$A,[1]Returns!C:C)</f>
        <v>9.300000000000086E-3</v>
      </c>
      <c r="D27" s="2">
        <f>_xlfn.XLOOKUP($A27,[1]Returns!$A:$A,[1]Returns!D:D)</f>
        <v>-2.3638354104999929E-2</v>
      </c>
      <c r="E27" s="2">
        <f>_xlfn.XLOOKUP($A27,[1]Returns!$A:$A,[1]Returns!E:E)</f>
        <v>1.9940912289510001E-2</v>
      </c>
      <c r="F27" s="2">
        <f>_xlfn.XLOOKUP($A27,[1]Returns!$A:$A,[1]Returns!F:F)</f>
        <v>0.1126511403928179</v>
      </c>
      <c r="G27" s="2">
        <f>_xlfn.XLOOKUP($A27,[1]Returns!$A:$A,[1]Returns!G:G)</f>
        <v>8.0205572124735225E-2</v>
      </c>
      <c r="H27" s="2">
        <f>_xlfn.XLOOKUP($A27,[1]Returns!$A:$A,[1]Returns!H:H)</f>
        <v>7.319053656714436E-2</v>
      </c>
      <c r="I27" s="2">
        <f>_xlfn.XLOOKUP($A27,[1]Returns!$A:$A,[1]Returns!I:I)</f>
        <v>5.394499691859167E-2</v>
      </c>
      <c r="J27" s="2">
        <f>_xlfn.XLOOKUP($A27,[1]Returns!$A:$A,[1]Returns!J:J)</f>
        <v>6.2691999553548872E-2</v>
      </c>
      <c r="K27" s="2">
        <f>_xlfn.XLOOKUP($A27,[1]Returns!$A:$A,[1]Returns!K:K)</f>
        <v>9.300000000000086E-3</v>
      </c>
      <c r="L27" s="2">
        <f>_xlfn.XLOOKUP($A27,[1]Returns!$A:$A,[1]Returns!L:L)</f>
        <v>-2.3638354104999929E-2</v>
      </c>
      <c r="M27" s="2">
        <f>_xlfn.XLOOKUP($A27,[1]Returns!$A:$A,[1]Returns!M:M)</f>
        <v>1.9940912289510001E-2</v>
      </c>
      <c r="N27" s="2">
        <f>_xlfn.XLOOKUP($A27,[1]Returns!$A:$A,[1]Returns!N:N)</f>
        <v>0.1126511403928179</v>
      </c>
      <c r="O27" s="2">
        <f>_xlfn.XLOOKUP($A27,[1]Returns!$A:$A,[1]Returns!O:O)</f>
        <v>8.0205572124735225E-2</v>
      </c>
      <c r="P27" s="2">
        <f>_xlfn.XLOOKUP($A27,[1]Returns!$A:$A,[1]Returns!P:P)</f>
        <v>7.319053656714436E-2</v>
      </c>
      <c r="Q27" s="2">
        <f>_xlfn.XLOOKUP($A27,[1]Returns!$A:$A,[1]Returns!Q:Q)</f>
        <v>5.394499691859167E-2</v>
      </c>
      <c r="R27" s="2">
        <f>_xlfn.XLOOKUP($A27,[1]Returns!$A:$A,[1]Returns!R:R)</f>
        <v>6.2691999553548872E-2</v>
      </c>
      <c r="S27" s="2">
        <f>_xlfn.XLOOKUP($A27,[1]Returns!$A:$A,[1]Returns!S:S)</f>
        <v>0.124788964358634</v>
      </c>
      <c r="T27" s="2">
        <f>_xlfn.XLOOKUP($A27,[1]Returns!$A:$A,[1]Returns!T:T)</f>
        <v>5.4098630863060437E-2</v>
      </c>
      <c r="U27" s="2">
        <f>_xlfn.XLOOKUP($A27,[1]Returns!$A:$A,[1]Returns!U:U)</f>
        <v>-3.4202652847085679E-2</v>
      </c>
      <c r="V27" s="2">
        <f>_xlfn.XLOOKUP($A27,[1]Returns!$A:$A,[1]Returns!V:V)</f>
        <v>0.1455653061407236</v>
      </c>
      <c r="W27" s="2">
        <f>_xlfn.XLOOKUP($A27,[1]Returns!$A:$A,[1]Returns!W:W)</f>
        <v>-8.3092281574879134E-3</v>
      </c>
      <c r="X27" s="2">
        <f>_xlfn.XLOOKUP($A27,[1]Returns!$A:$A,[1]Returns!X:X)</f>
        <v>0.115914764648821</v>
      </c>
      <c r="Y27" s="2">
        <f>_xlfn.XLOOKUP($A27,[1]Returns!$A:$A,[1]Returns!Y:Y)</f>
        <v>2.0091365915979601E-2</v>
      </c>
      <c r="Z27" s="2">
        <f>_xlfn.XLOOKUP($A27,[1]Returns!$A:$A,[1]Returns!Z:Z)</f>
        <v>0.124788964358634</v>
      </c>
      <c r="AA27" s="2">
        <f>_xlfn.XLOOKUP($A27,[1]Returns!$A:$A,[1]Returns!AA:AA)</f>
        <v>5.4098630863060437E-2</v>
      </c>
      <c r="AB27" s="2">
        <f>_xlfn.XLOOKUP($A27,[1]Returns!$A:$A,[1]Returns!AB:AB)</f>
        <v>-3.4202652847085679E-2</v>
      </c>
      <c r="AC27" s="2">
        <f>_xlfn.XLOOKUP($A27,[1]Returns!$A:$A,[1]Returns!AC:AC)</f>
        <v>0.1455653061407236</v>
      </c>
      <c r="AD27" s="2">
        <f>_xlfn.XLOOKUP($A27,[1]Returns!$A:$A,[1]Returns!AD:AD)</f>
        <v>-8.3092281574879134E-3</v>
      </c>
      <c r="AE27" s="2">
        <f>_xlfn.XLOOKUP($A27,[1]Returns!$A:$A,[1]Returns!AE:AE)</f>
        <v>0.115914764648821</v>
      </c>
      <c r="AF27" s="2">
        <f>_xlfn.XLOOKUP($A27,[1]Returns!$A:$A,[1]Returns!AF:AF)</f>
        <v>2.0091365915979601E-2</v>
      </c>
      <c r="AG27">
        <v>8548924.7799999993</v>
      </c>
    </row>
    <row r="28" spans="1:33" x14ac:dyDescent="0.25">
      <c r="A28" t="s">
        <v>73</v>
      </c>
      <c r="B28" t="s">
        <v>79</v>
      </c>
      <c r="C28" s="2">
        <f>_xlfn.XLOOKUP($A28,[1]Returns!$A:$A,[1]Returns!C:C)</f>
        <v>6.506600000000029E-3</v>
      </c>
      <c r="D28" s="2">
        <f>_xlfn.XLOOKUP($A28,[1]Returns!$A:$A,[1]Returns!D:D)</f>
        <v>1.876838765919087E-2</v>
      </c>
      <c r="E28" s="2">
        <f>_xlfn.XLOOKUP($A28,[1]Returns!$A:$A,[1]Returns!E:E)</f>
        <v>1.9995107525208281E-2</v>
      </c>
      <c r="F28" s="2">
        <f>_xlfn.XLOOKUP($A28,[1]Returns!$A:$A,[1]Returns!F:F)</f>
        <v>5.9071636193494648E-2</v>
      </c>
      <c r="G28" s="2">
        <f>_xlfn.XLOOKUP($A28,[1]Returns!$A:$A,[1]Returns!G:G)</f>
        <v>8.8080506616657894E-2</v>
      </c>
      <c r="H28" s="2">
        <f>_xlfn.XLOOKUP($A28,[1]Returns!$A:$A,[1]Returns!H:H)</f>
        <v>6.8760021177610042E-2</v>
      </c>
      <c r="I28" s="2">
        <f>_xlfn.XLOOKUP($A28,[1]Returns!$A:$A,[1]Returns!I:I)</f>
        <v>4.4932211428522877E-2</v>
      </c>
      <c r="J28" s="2">
        <f>_xlfn.XLOOKUP($A28,[1]Returns!$A:$A,[1]Returns!J:J)</f>
        <v>4.996055002208144E-2</v>
      </c>
      <c r="K28" s="2">
        <f>_xlfn.XLOOKUP($A28,[1]Returns!$A:$A,[1]Returns!K:K)</f>
        <v>6.506600000000029E-3</v>
      </c>
      <c r="L28" s="2">
        <f>_xlfn.XLOOKUP($A28,[1]Returns!$A:$A,[1]Returns!L:L)</f>
        <v>1.876838765919087E-2</v>
      </c>
      <c r="M28" s="2">
        <f>_xlfn.XLOOKUP($A28,[1]Returns!$A:$A,[1]Returns!M:M)</f>
        <v>1.9995107525208281E-2</v>
      </c>
      <c r="N28" s="2">
        <f>_xlfn.XLOOKUP($A28,[1]Returns!$A:$A,[1]Returns!N:N)</f>
        <v>5.9071636193494648E-2</v>
      </c>
      <c r="O28" s="2">
        <f>_xlfn.XLOOKUP($A28,[1]Returns!$A:$A,[1]Returns!O:O)</f>
        <v>8.8080506616657894E-2</v>
      </c>
      <c r="P28" s="2">
        <f>_xlfn.XLOOKUP($A28,[1]Returns!$A:$A,[1]Returns!P:P)</f>
        <v>6.8760021177610042E-2</v>
      </c>
      <c r="Q28" s="2">
        <f>_xlfn.XLOOKUP($A28,[1]Returns!$A:$A,[1]Returns!Q:Q)</f>
        <v>4.4932211428522877E-2</v>
      </c>
      <c r="R28" s="2">
        <f>_xlfn.XLOOKUP($A28,[1]Returns!$A:$A,[1]Returns!R:R)</f>
        <v>4.996055002208144E-2</v>
      </c>
      <c r="S28" s="2">
        <f>_xlfn.XLOOKUP($A28,[1]Returns!$A:$A,[1]Returns!S:S)</f>
        <v>8.0714217637701147E-2</v>
      </c>
      <c r="T28" s="2">
        <f>_xlfn.XLOOKUP($A28,[1]Returns!$A:$A,[1]Returns!T:T)</f>
        <v>0.1259456759958231</v>
      </c>
      <c r="U28" s="2">
        <f>_xlfn.XLOOKUP($A28,[1]Returns!$A:$A,[1]Returns!U:U)</f>
        <v>-9.3833560932529148E-3</v>
      </c>
      <c r="V28" s="2">
        <f>_xlfn.XLOOKUP($A28,[1]Returns!$A:$A,[1]Returns!V:V)</f>
        <v>5.1052418973622782E-2</v>
      </c>
      <c r="W28" s="2">
        <f>_xlfn.XLOOKUP($A28,[1]Returns!$A:$A,[1]Returns!W:W)</f>
        <v>1.828699955803148E-2</v>
      </c>
      <c r="X28" s="2">
        <f>_xlfn.XLOOKUP($A28,[1]Returns!$A:$A,[1]Returns!X:X)</f>
        <v>7.7349186294291661E-2</v>
      </c>
      <c r="Y28" s="2">
        <f>_xlfn.XLOOKUP($A28,[1]Returns!$A:$A,[1]Returns!Y:Y)</f>
        <v>-4.6128794597813938E-3</v>
      </c>
      <c r="Z28" s="2">
        <f>_xlfn.XLOOKUP($A28,[1]Returns!$A:$A,[1]Returns!Z:Z)</f>
        <v>8.0714217637701147E-2</v>
      </c>
      <c r="AA28" s="2">
        <f>_xlfn.XLOOKUP($A28,[1]Returns!$A:$A,[1]Returns!AA:AA)</f>
        <v>0.1259456759958231</v>
      </c>
      <c r="AB28" s="2">
        <f>_xlfn.XLOOKUP($A28,[1]Returns!$A:$A,[1]Returns!AB:AB)</f>
        <v>-9.3833560932529148E-3</v>
      </c>
      <c r="AC28" s="2">
        <f>_xlfn.XLOOKUP($A28,[1]Returns!$A:$A,[1]Returns!AC:AC)</f>
        <v>5.1052418973622782E-2</v>
      </c>
      <c r="AD28" s="2">
        <f>_xlfn.XLOOKUP($A28,[1]Returns!$A:$A,[1]Returns!AD:AD)</f>
        <v>1.828699955803148E-2</v>
      </c>
      <c r="AE28" s="2">
        <f>_xlfn.XLOOKUP($A28,[1]Returns!$A:$A,[1]Returns!AE:AE)</f>
        <v>7.7349186294291661E-2</v>
      </c>
      <c r="AF28" s="2">
        <f>_xlfn.XLOOKUP($A28,[1]Returns!$A:$A,[1]Returns!AF:AF)</f>
        <v>-4.6128794597813938E-3</v>
      </c>
    </row>
    <row r="29" spans="1:33" x14ac:dyDescent="0.25">
      <c r="A29" t="s">
        <v>74</v>
      </c>
      <c r="B29" t="s">
        <v>54</v>
      </c>
      <c r="C29" s="2">
        <f>_xlfn.XLOOKUP($A29,[1]Returns!$A:$A,[1]Returns!C:C)</f>
        <v>-1.3900000000000019E-3</v>
      </c>
      <c r="D29" s="2">
        <f>_xlfn.XLOOKUP($A29,[1]Returns!$A:$A,[1]Returns!D:D)</f>
        <v>6.2410980091998081E-3</v>
      </c>
      <c r="E29" s="2">
        <f>_xlfn.XLOOKUP($A29,[1]Returns!$A:$A,[1]Returns!E:E)</f>
        <v>6.9388956390800116E-2</v>
      </c>
      <c r="F29" s="2">
        <f>_xlfn.XLOOKUP($A29,[1]Returns!$A:$A,[1]Returns!F:F)</f>
        <v>0.10980135631350579</v>
      </c>
      <c r="G29" s="2">
        <f>_xlfn.XLOOKUP($A29,[1]Returns!$A:$A,[1]Returns!G:G)</f>
        <v>0.15027340136031531</v>
      </c>
      <c r="H29" s="2">
        <f>_xlfn.XLOOKUP($A29,[1]Returns!$A:$A,[1]Returns!H:H)</f>
        <v>8.8299249847922479E-2</v>
      </c>
      <c r="I29" s="2">
        <f>_xlfn.XLOOKUP($A29,[1]Returns!$A:$A,[1]Returns!I:I)</f>
        <v>6.3914755822128022E-2</v>
      </c>
      <c r="J29" s="2">
        <f>_xlfn.XLOOKUP($A29,[1]Returns!$A:$A,[1]Returns!J:J)</f>
        <v>7.3869519949001816E-2</v>
      </c>
      <c r="K29" s="2">
        <f>_xlfn.XLOOKUP($A29,[1]Returns!$A:$A,[1]Returns!K:K)</f>
        <v>1.459999999999995E-2</v>
      </c>
      <c r="L29" s="2">
        <f>_xlfn.XLOOKUP($A29,[1]Returns!$A:$A,[1]Returns!L:L)</f>
        <v>6.2589849487999727E-2</v>
      </c>
      <c r="M29" s="2">
        <f>_xlfn.XLOOKUP($A29,[1]Returns!$A:$A,[1]Returns!M:M)</f>
        <v>0.1376520316387031</v>
      </c>
      <c r="N29" s="2">
        <f>_xlfn.XLOOKUP($A29,[1]Returns!$A:$A,[1]Returns!N:N)</f>
        <v>0.17997363392522231</v>
      </c>
      <c r="O29" s="2">
        <f>_xlfn.XLOOKUP($A29,[1]Returns!$A:$A,[1]Returns!O:O)</f>
        <v>0.1876408791383288</v>
      </c>
      <c r="P29" s="2">
        <f>_xlfn.XLOOKUP($A29,[1]Returns!$A:$A,[1]Returns!P:P)</f>
        <v>0.11667047914568179</v>
      </c>
      <c r="Q29" s="2">
        <f>_xlfn.XLOOKUP($A29,[1]Returns!$A:$A,[1]Returns!Q:Q)</f>
        <v>7.731190454466641E-2</v>
      </c>
      <c r="R29" s="2">
        <f>_xlfn.XLOOKUP($A29,[1]Returns!$A:$A,[1]Returns!R:R)</f>
        <v>7.901022020326276E-2</v>
      </c>
      <c r="S29" s="2">
        <f>_xlfn.XLOOKUP($A29,[1]Returns!$A:$A,[1]Returns!S:S)</f>
        <v>9.2049378719037733E-2</v>
      </c>
      <c r="T29" s="2">
        <f>_xlfn.XLOOKUP($A29,[1]Returns!$A:$A,[1]Returns!T:T)</f>
        <v>0.1898117381043074</v>
      </c>
      <c r="U29" s="2">
        <f>_xlfn.XLOOKUP($A29,[1]Returns!$A:$A,[1]Returns!U:U)</f>
        <v>-0.1603738713607461</v>
      </c>
      <c r="V29" s="2">
        <f>_xlfn.XLOOKUP($A29,[1]Returns!$A:$A,[1]Returns!V:V)</f>
        <v>0.16507135840840581</v>
      </c>
      <c r="W29" s="2">
        <f>_xlfn.XLOOKUP($A29,[1]Returns!$A:$A,[1]Returns!W:W)</f>
        <v>5.4079106591117247E-2</v>
      </c>
      <c r="X29" s="2">
        <f>_xlfn.XLOOKUP($A29,[1]Returns!$A:$A,[1]Returns!X:X)</f>
        <v>0.15845914942998779</v>
      </c>
      <c r="Y29" s="2">
        <f>_xlfn.XLOOKUP($A29,[1]Returns!$A:$A,[1]Returns!Y:Y)</f>
        <v>-6.0255804356564857E-2</v>
      </c>
      <c r="Z29" s="2">
        <f>_xlfn.XLOOKUP($A29,[1]Returns!$A:$A,[1]Returns!Z:Z)</f>
        <v>0.13811859200861359</v>
      </c>
      <c r="AA29" s="2">
        <f>_xlfn.XLOOKUP($A29,[1]Returns!$A:$A,[1]Returns!AA:AA)</f>
        <v>0.1566567055638326</v>
      </c>
      <c r="AB29" s="2">
        <f>_xlfn.XLOOKUP($A29,[1]Returns!$A:$A,[1]Returns!AB:AB)</f>
        <v>-7.7705292109581325E-2</v>
      </c>
      <c r="AC29" s="2">
        <f>_xlfn.XLOOKUP($A29,[1]Returns!$A:$A,[1]Returns!AC:AC)</f>
        <v>0.10817931502983601</v>
      </c>
      <c r="AD29" s="2">
        <f>_xlfn.XLOOKUP($A29,[1]Returns!$A:$A,[1]Returns!AD:AD)</f>
        <v>5.377222737175158E-2</v>
      </c>
      <c r="AE29" s="2">
        <f>_xlfn.XLOOKUP($A29,[1]Returns!$A:$A,[1]Returns!AE:AE)</f>
        <v>0.1645435923658487</v>
      </c>
      <c r="AF29" s="2">
        <f>_xlfn.XLOOKUP($A29,[1]Returns!$A:$A,[1]Returns!AF:AF)</f>
        <v>-5.5537819245731417E-2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Bardia Baradarani</dc:creator>
  <cp:lastModifiedBy>Omar El Assaad</cp:lastModifiedBy>
  <dcterms:created xsi:type="dcterms:W3CDTF">2024-06-10T19:21:42Z</dcterms:created>
  <dcterms:modified xsi:type="dcterms:W3CDTF">2025-07-10T20:44:03Z</dcterms:modified>
</cp:coreProperties>
</file>